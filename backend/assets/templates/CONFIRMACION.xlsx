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quir\Downloads\"/>
    </mc:Choice>
  </mc:AlternateContent>
  <xr:revisionPtr revIDLastSave="0" documentId="8_{C7EFB4FA-9F1E-4E8D-947D-3EAB7FE8A66E}" xr6:coauthVersionLast="47" xr6:coauthVersionMax="47" xr10:uidLastSave="{00000000-0000-0000-0000-000000000000}"/>
  <bookViews>
    <workbookView xWindow="-108" yWindow="-108" windowWidth="23256" windowHeight="12456" xr2:uid="{43CE3CC6-306E-4A02-8CD7-13CF78A26A88}"/>
  </bookViews>
  <sheets>
    <sheet name="FORMATO" sheetId="6" r:id="rId1"/>
  </sheets>
  <definedNames>
    <definedName name="TIPO_MALL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9" i="6" l="1"/>
  <c r="AH28" i="6" l="1"/>
  <c r="AH27" i="6"/>
  <c r="AH26" i="6"/>
  <c r="AH25" i="6"/>
  <c r="AH24" i="6"/>
  <c r="AH23" i="6"/>
  <c r="AH22" i="6"/>
  <c r="AH21" i="6"/>
  <c r="AH20" i="6"/>
  <c r="AH19" i="6"/>
  <c r="AH18" i="6"/>
  <c r="AH17" i="6"/>
  <c r="AH16" i="6"/>
  <c r="AH15" i="6"/>
  <c r="AH14" i="6"/>
  <c r="AH13" i="6"/>
  <c r="AH12" i="6"/>
  <c r="AH11" i="6"/>
  <c r="AH10" i="6"/>
  <c r="AH9" i="6"/>
  <c r="AH8" i="6"/>
  <c r="AH7" i="6"/>
</calcChain>
</file>

<file path=xl/sharedStrings.xml><?xml version="1.0" encoding="utf-8"?>
<sst xmlns="http://schemas.openxmlformats.org/spreadsheetml/2006/main" count="613" uniqueCount="86">
  <si>
    <t>CULTIVO</t>
  </si>
  <si>
    <t>FECHA COSECHA</t>
  </si>
  <si>
    <t xml:space="preserve">FECHA PROCESO </t>
  </si>
  <si>
    <t>CLIENTE</t>
  </si>
  <si>
    <t>VARIEDAD</t>
  </si>
  <si>
    <t xml:space="preserve">PRESENTACION </t>
  </si>
  <si>
    <t>ETIQUETA CLAMSHELL TAPA</t>
  </si>
  <si>
    <t>ETIQUETA CLAMSHELL BASE</t>
  </si>
  <si>
    <t>MARCA DISTINTIVA CAJA</t>
  </si>
  <si>
    <t>TIPO ESQUINERO</t>
  </si>
  <si>
    <t>SELLADO</t>
  </si>
  <si>
    <t>GENERADOR</t>
  </si>
  <si>
    <t xml:space="preserve">FUNDO </t>
  </si>
  <si>
    <t>LOTE FUNDO</t>
  </si>
  <si>
    <t xml:space="preserve">CODIGO LUGAR PRODUCCION </t>
  </si>
  <si>
    <t>CODIGO TRAZABILIDAD</t>
  </si>
  <si>
    <t>LOTE CLIENTE (OGL)</t>
  </si>
  <si>
    <t>CATEGORIA</t>
  </si>
  <si>
    <t>CALIBRE</t>
  </si>
  <si>
    <t>COLOR</t>
  </si>
  <si>
    <t>TOTAL CAJAS</t>
  </si>
  <si>
    <t>NUMERO PEDIDO SAP</t>
  </si>
  <si>
    <t>NUMERO ENTREGA SAP</t>
  </si>
  <si>
    <t>PAIS DESTINO</t>
  </si>
  <si>
    <t>PO</t>
  </si>
  <si>
    <t>CUBRE</t>
  </si>
  <si>
    <t>TIPO PALLET</t>
  </si>
  <si>
    <t>TOTAL KILOS</t>
  </si>
  <si>
    <t>PESO CAJA</t>
  </si>
  <si>
    <t>TIPO CAJA</t>
  </si>
  <si>
    <t>TIPO BOLSA</t>
  </si>
  <si>
    <t>MODALIDAD TRANSPORTE</t>
  </si>
  <si>
    <t>TARJETA EMBARQUE (VERIFICACION SENASA)</t>
  </si>
  <si>
    <t>CONFIRMACION DE PLANTA BETA - MARITIMO</t>
  </si>
  <si>
    <t xml:space="preserve">LOTE JULIANO
</t>
  </si>
  <si>
    <t>ORDEN BETA</t>
  </si>
  <si>
    <t>CENTRO</t>
  </si>
  <si>
    <t>ID PALLET (HU)</t>
  </si>
  <si>
    <t>ENLIGADO</t>
  </si>
  <si>
    <t>CODIGO MATERIAL</t>
  </si>
  <si>
    <t>CHAROLA</t>
  </si>
  <si>
    <t>GRANADA</t>
  </si>
  <si>
    <t>MARITIMO</t>
  </si>
  <si>
    <t>OGL</t>
  </si>
  <si>
    <t>HOLANDA</t>
  </si>
  <si>
    <t>Santa Lucia</t>
  </si>
  <si>
    <t>016-00278-18</t>
  </si>
  <si>
    <t>CAJA OGL</t>
  </si>
  <si>
    <t>WONDERFULL</t>
  </si>
  <si>
    <t>-</t>
  </si>
  <si>
    <t>CAT1</t>
  </si>
  <si>
    <t>SI</t>
  </si>
  <si>
    <t>BOLSA T-ATMOSFERA MODIF C/LIGA 3.8/4 KG</t>
  </si>
  <si>
    <t>ETIQ ADHES TRAZABILIDAD 8.3X6.5CM COUCHE</t>
  </si>
  <si>
    <t>ESQUINERO KRAFT</t>
  </si>
  <si>
    <t>PARIHUELA TIPO CHEP MOD PARA CAJA 40X60</t>
  </si>
  <si>
    <t>CON CHAROLA</t>
  </si>
  <si>
    <t>SIN CHAROLA</t>
  </si>
  <si>
    <t>FGWC380OGL121</t>
  </si>
  <si>
    <t>FGWC380OGL141</t>
  </si>
  <si>
    <t>123.078.5702.05</t>
  </si>
  <si>
    <t>L 12 - 04</t>
  </si>
  <si>
    <t>BG-117</t>
  </si>
  <si>
    <t>GW-0258</t>
  </si>
  <si>
    <t>GW-0259</t>
  </si>
  <si>
    <t>GW-0262</t>
  </si>
  <si>
    <t>GW-0269</t>
  </si>
  <si>
    <t>GW-0271</t>
  </si>
  <si>
    <t>GW-0282</t>
  </si>
  <si>
    <t>GW-0284</t>
  </si>
  <si>
    <t>GW-0286</t>
  </si>
  <si>
    <t>GW-0288</t>
  </si>
  <si>
    <t>GW-0290</t>
  </si>
  <si>
    <t>GW-0291</t>
  </si>
  <si>
    <t>GW-0294</t>
  </si>
  <si>
    <t>GW-0300</t>
  </si>
  <si>
    <t>GW-0301</t>
  </si>
  <si>
    <t>GW-0305</t>
  </si>
  <si>
    <t>GW-0312</t>
  </si>
  <si>
    <t>GW-0322</t>
  </si>
  <si>
    <t>GW-0336</t>
  </si>
  <si>
    <t>GW-0348</t>
  </si>
  <si>
    <t>GW-0373</t>
  </si>
  <si>
    <t>124.079.5702.06</t>
  </si>
  <si>
    <t>124.079.5701.06</t>
  </si>
  <si>
    <t>L 12 - 05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</si>
</sst>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14" fontId="5" fillId="0" borderId="0" xfId="0" applyNumberFormat="1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14" fontId="0" fillId="0" borderId="0" xfId="0" applyNumberFormat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164" fontId="0" fillId="3" borderId="0" xfId="0" applyNumberFormat="1" applyFill="1" applyBorder="1" applyAlignment="1">
      <alignment horizontal="center"/>
    </xf>
  </cellXfs>
  <cellStyles count="2">
    <cellStyle name="Normal" xfId="0" builtinId="0"/>
    <cellStyle name="Normal 2" xfId="1" xr:uid="{EA555F08-8E0C-4440-9FA4-3E0EE85EA44F}"/>
  </cellStyles>
  <dxfs count="81"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4" formatCode="dd/mm/yyyy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4" formatCode="dd/mm/yyyy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4" formatCode="dd/mm/yyyy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4" formatCode="dd/mm/yyyy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9" formatCode="d/mm/yyyy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9" formatCode="d/mm/yyyy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9" formatCode="d/mm/yyyy"/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4" formatCode="dd/mm/yyyy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4" formatCode="dd/mm/yyyy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/yyyy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</font>
      <numFmt numFmtId="164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numFmt numFmtId="164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numFmt numFmtId="164" formatCode="dd/mm/yyyy"/>
      <alignment horizontal="center" vertical="bottom" textRotation="0" wrapText="0" indent="0" justifyLastLine="0" shrinkToFit="0" readingOrder="0"/>
    </dxf>
    <dxf>
      <numFmt numFmtId="164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/yyyy"/>
      <alignment horizontal="center" vertical="bottom" textRotation="0" wrapText="0" indent="0" justifyLastLine="0" shrinkToFit="0" readingOrder="0"/>
    </dxf>
    <dxf>
      <numFmt numFmtId="164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A50021"/>
      <color rgb="FFBCFB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476249</xdr:colOff>
      <xdr:row>0</xdr:row>
      <xdr:rowOff>0</xdr:rowOff>
    </xdr:from>
    <xdr:to>
      <xdr:col>1</xdr:col>
      <xdr:colOff>1559718</xdr:colOff>
      <xdr:row>5</xdr:row>
      <xdr:rowOff>83356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BEB8BBD6-911C-428A-8A43-CDFFD814C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49" y="0"/>
          <a:ext cx="2155032" cy="103585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E06968-73A5-451B-BCF1-A7AF15E7F0BB}" name="PACKING" displayName="PACKING" ref="A6:AN29" totalsRowCount="1" headerRowDxfId="80">
  <autoFilter ref="A6:AN28" xr:uid="{5FE06968-73A5-451B-BCF1-A7AF15E7F0BB}"/>
  <tableColumns count="40">
    <tableColumn id="1" xr3:uid="{087C22A8-2A8E-472B-91D5-3DD80680AE0C}" name="CULTIVO" dataDxfId="79" totalsRowDxfId="39"/>
    <tableColumn id="34" xr3:uid="{6C5A9BE9-C5EE-4873-A57C-B002B20E02FB}" name="MODALIDAD TRANSPORTE" dataDxfId="78" totalsRowDxfId="38"/>
    <tableColumn id="22" xr3:uid="{576B9607-4842-4210-A5F1-50CF37EE8D39}" name="CENTRO" dataDxfId="77" totalsRowDxfId="37"/>
    <tableColumn id="5" xr3:uid="{F3491ED2-F059-4D59-AC05-36E01FF13617}" name="CLIENTE" dataDxfId="76" totalsRowDxfId="36"/>
    <tableColumn id="23" xr3:uid="{1457C746-173D-44DB-A88D-C488A2FEE4CA}" name="ORDEN BETA" dataDxfId="75" totalsRowDxfId="35"/>
    <tableColumn id="2" xr3:uid="{A17C7074-1301-46F6-B434-0281208D81BD}" name="ID PALLET (HU)" dataDxfId="74" totalsRowDxfId="34"/>
    <tableColumn id="46" xr3:uid="{23A2E50A-1070-4CB5-BCF6-4DE4FB7FEB1E}" name="TARJETA EMBARQUE (VERIFICACION SENASA)" dataDxfId="73" totalsRowDxfId="33"/>
    <tableColumn id="42" xr3:uid="{338F2C17-77C3-473F-8ACF-03511D6A0E7B}" name="PO" dataDxfId="72" totalsRowDxfId="32"/>
    <tableColumn id="25" xr3:uid="{B7C1551B-E006-420D-BD2C-82682BAEB0C7}" name="PAIS DESTINO" dataDxfId="71" totalsRowDxfId="31"/>
    <tableColumn id="32" xr3:uid="{8448E00C-2A2D-4F17-B9B8-5AA128FFB7BE}" name="LOTE JULIANO_x000a_" dataDxfId="70" totalsRowDxfId="30"/>
    <tableColumn id="14" xr3:uid="{1AD42B4F-0297-44DC-9DAF-784B4130FAA0}" name="LOTE FUNDO" dataDxfId="69" totalsRowDxfId="29"/>
    <tableColumn id="16" xr3:uid="{42F85E9E-4FE3-4E4D-8620-7986899D90FA}" name="FUNDO " dataDxfId="68" totalsRowDxfId="28"/>
    <tableColumn id="3" xr3:uid="{609F57D6-9FC5-4ABC-AD97-4134698D2B43}" name="FECHA COSECHA" dataDxfId="67" totalsRowDxfId="27"/>
    <tableColumn id="4" xr3:uid="{850B0CA9-500E-4C00-98DF-FC33F8EAF863}" name="FECHA PROCESO " dataDxfId="66" totalsRowDxfId="26"/>
    <tableColumn id="33" xr3:uid="{15E8666A-4330-43A2-9203-E73A86ECEF8B}" name="LOTE CLIENTE (OGL)" dataDxfId="65" totalsRowDxfId="25"/>
    <tableColumn id="24" xr3:uid="{D5377AB8-D057-487B-8B4A-3633B7A771EC}" name="CODIGO TRAZABILIDAD" dataDxfId="64" totalsRowDxfId="24"/>
    <tableColumn id="15" xr3:uid="{47A28329-B2B7-4D0F-8A8E-D25220139789}" name="CODIGO LUGAR PRODUCCION " dataDxfId="63" totalsRowDxfId="23"/>
    <tableColumn id="10" xr3:uid="{92540D60-5E68-445E-A5E2-E13564CD2A60}" name="MARCA DISTINTIVA CAJA" dataDxfId="62" totalsRowDxfId="22"/>
    <tableColumn id="8" xr3:uid="{42A6EC56-0E41-4B71-8405-228281BE519B}" name="PRESENTACION " dataDxfId="61" totalsRowDxfId="21"/>
    <tableColumn id="7" xr3:uid="{191D4DD9-5B49-41E0-BF1C-D4C10C76253D}" name="VARIEDAD" dataDxfId="60" totalsRowDxfId="20"/>
    <tableColumn id="19" xr3:uid="{E3BD9E5E-3F1D-46E0-881B-50EF9130C5B7}" name="COLOR" dataDxfId="59" totalsRowDxfId="19"/>
    <tableColumn id="17" xr3:uid="{CD03A836-1C80-48A5-84C9-034C55B7A952}" name="CATEGORIA" dataDxfId="58" totalsRowDxfId="18"/>
    <tableColumn id="18" xr3:uid="{4581C5ED-30EC-4599-98D1-44241AC6E10B}" name="CALIBRE" dataDxfId="57" totalsRowDxfId="17"/>
    <tableColumn id="9" xr3:uid="{B25BDAA6-3D28-40C5-89A7-05AE4000E055}" name="SELLADO" dataDxfId="56" totalsRowDxfId="16"/>
    <tableColumn id="6" xr3:uid="{700D92EE-96A9-4EA9-AC04-7F3F63FE5A42}" name="TIPO CAJA" dataDxfId="55" totalsRowDxfId="15"/>
    <tableColumn id="11" xr3:uid="{E7F2E6E3-2518-471F-B1CD-6C5F648406DE}" name="TIPO BOLSA" dataDxfId="54" totalsRowDxfId="14"/>
    <tableColumn id="29" xr3:uid="{B965499D-A005-41F7-AFAA-261B4EA37C95}" name="CUBRE" dataDxfId="53" totalsRowDxfId="13"/>
    <tableColumn id="27" xr3:uid="{11BE64BE-3B1C-4181-B93F-2BC010A80114}" name="ETIQUETA CLAMSHELL TAPA" dataDxfId="52" totalsRowDxfId="12"/>
    <tableColumn id="28" xr3:uid="{7F5252B1-A0E5-4AF2-9CE8-63C46DE49704}" name="ETIQUETA CLAMSHELL BASE" dataDxfId="51" totalsRowDxfId="11"/>
    <tableColumn id="26" xr3:uid="{11014FAE-5CB9-4BE1-BEDF-AEBEC2B64F11}" name="TIPO ESQUINERO" dataDxfId="50" totalsRowDxfId="10"/>
    <tableColumn id="30" xr3:uid="{982A7BAD-D105-47AC-A40C-DA9A31FA8061}" name="TIPO PALLET" dataDxfId="49" totalsRowDxfId="9"/>
    <tableColumn id="13" xr3:uid="{5FB0F0DC-CA0B-4FBB-AA2E-6F26FD238EC8}" name="PESO CAJA" dataDxfId="48" totalsRowDxfId="8"/>
    <tableColumn id="20" xr3:uid="{29605F32-DBF6-48A2-975F-DBBCC5EB8E34}" name="TOTAL CAJAS" totalsRowFunction="sum" dataDxfId="47" totalsRowDxfId="7"/>
    <tableColumn id="21" xr3:uid="{056461A6-0748-4622-BDCD-593B270D1405}" name="TOTAL KILOS" dataDxfId="46" totalsRowDxfId="6">
      <calculatedColumnFormula>+PACKING[[#This Row],[TOTAL CAJAS]]*3.8</calculatedColumnFormula>
    </tableColumn>
    <tableColumn id="35" xr3:uid="{DD036DB7-2420-4EA2-B7FD-2CBF81152A36}" name="CODIGO MATERIAL" dataDxfId="45" totalsRowDxfId="5"/>
    <tableColumn id="37" xr3:uid="{AE50A6DC-7701-46E6-87A0-1EB50FB651E6}" name="NUMERO PEDIDO SAP" dataDxfId="44" totalsRowDxfId="4"/>
    <tableColumn id="39" xr3:uid="{2E66F10A-1510-4F5F-AA37-281A148523E0}" name="NUMERO ENTREGA SAP" dataDxfId="43" totalsRowDxfId="3"/>
    <tableColumn id="31" xr3:uid="{65E3B91F-AE52-4ADD-B9FE-D53A53CF4820}" name="ENLIGADO" dataDxfId="42" totalsRowDxfId="2"/>
    <tableColumn id="36" xr3:uid="{F6A09C52-64D7-40D1-974C-DCE92B5A8C5F}" name="CHAROLA" dataDxfId="41" totalsRowDxfId="1"/>
    <tableColumn id="12" xr3:uid="{61D4D21C-ED28-4C37-B87D-DD682D576B3F}" name="GENERADOR" dataDxfId="40" totalsRow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605A0-EE97-4CD5-B4DE-17F74CA07C86}">
  <dimension ref="A2:AN29"/>
  <sheetViews>
    <sheetView showGridLines="0" tabSelected="1" topLeftCell="O3" zoomScale="70" zoomScaleNormal="70" workbookViewId="0">
      <selection activeCell="P11" sqref="P11"/>
    </sheetView>
  </sheetViews>
  <sheetFormatPr baseColWidth="10" defaultColWidth="11.44140625" defaultRowHeight="15" customHeight="1" x14ac:dyDescent="0.3"/>
  <cols>
    <col min="1" max="1" width="16.109375" style="1" bestFit="1" customWidth="1"/>
    <col min="2" max="2" width="29.44140625" style="1" customWidth="1"/>
    <col min="3" max="3" width="14.44140625" style="2" bestFit="1" customWidth="1"/>
    <col min="4" max="4" width="16.6640625" style="2" bestFit="1" customWidth="1"/>
    <col min="5" max="5" width="18.6640625" style="2" bestFit="1" customWidth="1"/>
    <col min="6" max="6" width="20.109375" style="2" bestFit="1" customWidth="1"/>
    <col min="7" max="7" width="30.6640625" style="4" customWidth="1"/>
    <col min="8" max="8" width="17.88671875" style="4" customWidth="1"/>
    <col min="9" max="9" width="23.33203125" style="4" customWidth="1"/>
    <col min="10" max="10" width="28.44140625" style="2" bestFit="1" customWidth="1"/>
    <col min="11" max="11" width="23.44140625" style="2" bestFit="1" customWidth="1"/>
    <col min="12" max="13" width="23.44140625" style="2" customWidth="1"/>
    <col min="14" max="14" width="22.33203125" style="2" customWidth="1"/>
    <col min="15" max="17" width="36.5546875" style="2" customWidth="1"/>
    <col min="18" max="18" width="32.109375" style="2" customWidth="1"/>
    <col min="19" max="19" width="30.5546875" style="2" customWidth="1"/>
    <col min="20" max="20" width="18.5546875" style="2" customWidth="1"/>
    <col min="21" max="22" width="18" style="2" customWidth="1"/>
    <col min="23" max="23" width="20.44140625" style="2" customWidth="1"/>
    <col min="24" max="24" width="18.44140625" style="2" customWidth="1"/>
    <col min="25" max="25" width="21.33203125" style="2" customWidth="1"/>
    <col min="26" max="26" width="47.44140625" style="2" bestFit="1" customWidth="1"/>
    <col min="27" max="27" width="26.109375" style="2" customWidth="1"/>
    <col min="28" max="28" width="49.109375" style="2" bestFit="1" customWidth="1"/>
    <col min="29" max="29" width="25.33203125" style="2" customWidth="1"/>
    <col min="30" max="30" width="26.88671875" style="2" customWidth="1"/>
    <col min="31" max="31" width="48.5546875" style="2" bestFit="1" customWidth="1"/>
    <col min="32" max="32" width="21.5546875" style="2" bestFit="1" customWidth="1"/>
    <col min="33" max="33" width="24.44140625" style="2" bestFit="1" customWidth="1"/>
    <col min="34" max="34" width="28.6640625" style="2" bestFit="1" customWidth="1"/>
    <col min="35" max="35" width="28.6640625" style="2" customWidth="1"/>
    <col min="36" max="37" width="22.6640625" style="2" bestFit="1" customWidth="1"/>
    <col min="38" max="39" width="22.6640625" style="2" customWidth="1"/>
    <col min="40" max="40" width="28.6640625" bestFit="1" customWidth="1"/>
  </cols>
  <sheetData>
    <row r="2" spans="1:40" ht="15" customHeight="1" x14ac:dyDescent="0.3">
      <c r="A2" s="12" t="s">
        <v>33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40" ht="15" customHeight="1" x14ac:dyDescent="0.55000000000000004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AD3" s="5"/>
      <c r="AE3" s="5"/>
      <c r="AF3" s="5"/>
      <c r="AG3" s="5"/>
      <c r="AH3" s="5"/>
      <c r="AI3" s="5"/>
    </row>
    <row r="4" spans="1:40" ht="15" customHeight="1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6"/>
      <c r="Q4" s="6"/>
      <c r="R4" s="6"/>
      <c r="S4" s="6"/>
    </row>
    <row r="5" spans="1:40" ht="15" customHeight="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40" s="3" customFormat="1" ht="35.1" customHeight="1" x14ac:dyDescent="0.3">
      <c r="A6" s="7" t="s">
        <v>0</v>
      </c>
      <c r="B6" s="7" t="s">
        <v>31</v>
      </c>
      <c r="C6" s="7" t="s">
        <v>36</v>
      </c>
      <c r="D6" s="7" t="s">
        <v>3</v>
      </c>
      <c r="E6" s="7" t="s">
        <v>35</v>
      </c>
      <c r="F6" s="7" t="s">
        <v>37</v>
      </c>
      <c r="G6" s="7" t="s">
        <v>32</v>
      </c>
      <c r="H6" s="7" t="s">
        <v>24</v>
      </c>
      <c r="I6" s="7" t="s">
        <v>23</v>
      </c>
      <c r="J6" s="8" t="s">
        <v>34</v>
      </c>
      <c r="K6" s="7" t="s">
        <v>13</v>
      </c>
      <c r="L6" s="7" t="s">
        <v>12</v>
      </c>
      <c r="M6" s="9" t="s">
        <v>1</v>
      </c>
      <c r="N6" s="9" t="s">
        <v>2</v>
      </c>
      <c r="O6" s="7" t="s">
        <v>16</v>
      </c>
      <c r="P6" s="7" t="s">
        <v>15</v>
      </c>
      <c r="Q6" s="7" t="s">
        <v>14</v>
      </c>
      <c r="R6" s="7" t="s">
        <v>8</v>
      </c>
      <c r="S6" s="7" t="s">
        <v>5</v>
      </c>
      <c r="T6" s="7" t="s">
        <v>4</v>
      </c>
      <c r="U6" s="7" t="s">
        <v>19</v>
      </c>
      <c r="V6" s="7" t="s">
        <v>17</v>
      </c>
      <c r="W6" s="7" t="s">
        <v>18</v>
      </c>
      <c r="X6" s="7" t="s">
        <v>10</v>
      </c>
      <c r="Y6" s="7" t="s">
        <v>29</v>
      </c>
      <c r="Z6" s="7" t="s">
        <v>30</v>
      </c>
      <c r="AA6" s="7" t="s">
        <v>25</v>
      </c>
      <c r="AB6" s="7" t="s">
        <v>6</v>
      </c>
      <c r="AC6" s="7" t="s">
        <v>7</v>
      </c>
      <c r="AD6" s="7" t="s">
        <v>9</v>
      </c>
      <c r="AE6" s="7" t="s">
        <v>26</v>
      </c>
      <c r="AF6" s="7" t="s">
        <v>28</v>
      </c>
      <c r="AG6" s="7" t="s">
        <v>20</v>
      </c>
      <c r="AH6" s="7" t="s">
        <v>27</v>
      </c>
      <c r="AI6" s="7" t="s">
        <v>39</v>
      </c>
      <c r="AJ6" s="10" t="s">
        <v>21</v>
      </c>
      <c r="AK6" s="10" t="s">
        <v>22</v>
      </c>
      <c r="AL6" s="7" t="s">
        <v>38</v>
      </c>
      <c r="AM6" s="7" t="s">
        <v>40</v>
      </c>
      <c r="AN6" s="7" t="s">
        <v>11</v>
      </c>
    </row>
    <row r="7" spans="1:40" ht="15" customHeight="1" x14ac:dyDescent="0.3">
      <c r="A7" s="2" t="s">
        <v>41</v>
      </c>
      <c r="B7" s="2" t="s">
        <v>42</v>
      </c>
      <c r="C7" s="2">
        <v>4102</v>
      </c>
      <c r="D7" s="2" t="s">
        <v>43</v>
      </c>
      <c r="E7" s="2" t="s">
        <v>62</v>
      </c>
      <c r="F7" s="1" t="s">
        <v>63</v>
      </c>
      <c r="G7" s="1"/>
      <c r="H7" s="2"/>
      <c r="I7" s="2" t="s">
        <v>44</v>
      </c>
      <c r="J7" s="2" t="s">
        <v>60</v>
      </c>
      <c r="K7" s="2">
        <v>5702</v>
      </c>
      <c r="L7" s="2" t="s">
        <v>45</v>
      </c>
      <c r="M7" s="4">
        <v>46099</v>
      </c>
      <c r="N7" s="4">
        <v>46100</v>
      </c>
      <c r="O7" s="11" t="s">
        <v>61</v>
      </c>
      <c r="P7" s="2" t="s">
        <v>60</v>
      </c>
      <c r="Q7" s="2" t="s">
        <v>46</v>
      </c>
      <c r="R7" s="2" t="s">
        <v>49</v>
      </c>
      <c r="S7" s="2" t="s">
        <v>47</v>
      </c>
      <c r="T7" s="2" t="s">
        <v>48</v>
      </c>
      <c r="U7" s="2" t="s">
        <v>49</v>
      </c>
      <c r="V7" s="2" t="s">
        <v>50</v>
      </c>
      <c r="W7" s="2">
        <v>14</v>
      </c>
      <c r="Y7" s="2" t="s">
        <v>47</v>
      </c>
      <c r="Z7" s="2" t="s">
        <v>52</v>
      </c>
      <c r="AB7" s="2" t="s">
        <v>53</v>
      </c>
      <c r="AD7" s="2" t="s">
        <v>54</v>
      </c>
      <c r="AE7" s="2" t="s">
        <v>55</v>
      </c>
      <c r="AF7" s="2">
        <v>3.8</v>
      </c>
      <c r="AG7" s="2">
        <v>200</v>
      </c>
      <c r="AH7" s="2">
        <f>+PACKING[[#This Row],[TOTAL CAJAS]]*3.8</f>
        <v>760</v>
      </c>
      <c r="AI7" s="2" t="s">
        <v>59</v>
      </c>
      <c r="AJ7" s="2" t="s">
        <v>49</v>
      </c>
      <c r="AK7" s="2" t="s">
        <v>49</v>
      </c>
      <c r="AL7" s="2" t="s">
        <v>51</v>
      </c>
      <c r="AM7" s="2" t="s">
        <v>57</v>
      </c>
      <c r="AN7" s="2"/>
    </row>
    <row r="8" spans="1:40" ht="15" customHeight="1" x14ac:dyDescent="0.3">
      <c r="A8" s="2" t="s">
        <v>41</v>
      </c>
      <c r="B8" s="2" t="s">
        <v>42</v>
      </c>
      <c r="C8" s="2">
        <v>4102</v>
      </c>
      <c r="D8" s="2" t="s">
        <v>43</v>
      </c>
      <c r="E8" s="2" t="s">
        <v>62</v>
      </c>
      <c r="F8" s="1" t="s">
        <v>64</v>
      </c>
      <c r="G8" s="1"/>
      <c r="H8" s="2"/>
      <c r="I8" s="2" t="s">
        <v>44</v>
      </c>
      <c r="J8" s="2" t="s">
        <v>60</v>
      </c>
      <c r="K8" s="2">
        <v>5702</v>
      </c>
      <c r="L8" s="2" t="s">
        <v>45</v>
      </c>
      <c r="M8" s="4">
        <v>46099</v>
      </c>
      <c r="N8" s="4">
        <v>46100</v>
      </c>
      <c r="O8" s="11" t="s">
        <v>61</v>
      </c>
      <c r="P8" s="2" t="s">
        <v>60</v>
      </c>
      <c r="Q8" s="2" t="s">
        <v>46</v>
      </c>
      <c r="R8" s="2" t="s">
        <v>49</v>
      </c>
      <c r="S8" s="2" t="s">
        <v>47</v>
      </c>
      <c r="T8" s="2" t="s">
        <v>48</v>
      </c>
      <c r="U8" s="2" t="s">
        <v>49</v>
      </c>
      <c r="V8" s="2" t="s">
        <v>50</v>
      </c>
      <c r="W8" s="2">
        <v>12</v>
      </c>
      <c r="Y8" s="2" t="s">
        <v>47</v>
      </c>
      <c r="Z8" s="2" t="s">
        <v>52</v>
      </c>
      <c r="AB8" s="2" t="s">
        <v>53</v>
      </c>
      <c r="AD8" s="2" t="s">
        <v>54</v>
      </c>
      <c r="AE8" s="2" t="s">
        <v>55</v>
      </c>
      <c r="AF8" s="2">
        <v>3.8</v>
      </c>
      <c r="AG8" s="2">
        <v>200</v>
      </c>
      <c r="AH8" s="2">
        <f>+PACKING[[#This Row],[TOTAL CAJAS]]*3.8</f>
        <v>760</v>
      </c>
      <c r="AI8" s="2" t="s">
        <v>58</v>
      </c>
      <c r="AJ8" s="2" t="s">
        <v>49</v>
      </c>
      <c r="AK8" s="2" t="s">
        <v>49</v>
      </c>
      <c r="AL8" s="2" t="s">
        <v>51</v>
      </c>
      <c r="AM8" s="2" t="s">
        <v>56</v>
      </c>
      <c r="AN8" s="2"/>
    </row>
    <row r="9" spans="1:40" ht="15" customHeight="1" x14ac:dyDescent="0.3">
      <c r="A9" s="2" t="s">
        <v>41</v>
      </c>
      <c r="B9" s="2" t="s">
        <v>42</v>
      </c>
      <c r="C9" s="2">
        <v>4102</v>
      </c>
      <c r="D9" s="2" t="s">
        <v>43</v>
      </c>
      <c r="E9" s="2" t="s">
        <v>62</v>
      </c>
      <c r="F9" s="1" t="s">
        <v>65</v>
      </c>
      <c r="G9" s="1"/>
      <c r="H9" s="2"/>
      <c r="I9" s="2" t="s">
        <v>44</v>
      </c>
      <c r="J9" s="2" t="s">
        <v>60</v>
      </c>
      <c r="K9" s="2">
        <v>5702</v>
      </c>
      <c r="L9" s="2" t="s">
        <v>45</v>
      </c>
      <c r="M9" s="4">
        <v>46099</v>
      </c>
      <c r="N9" s="4">
        <v>46100</v>
      </c>
      <c r="O9" s="11" t="s">
        <v>61</v>
      </c>
      <c r="P9" s="2" t="s">
        <v>60</v>
      </c>
      <c r="Q9" s="2" t="s">
        <v>46</v>
      </c>
      <c r="R9" s="2" t="s">
        <v>49</v>
      </c>
      <c r="S9" s="2" t="s">
        <v>47</v>
      </c>
      <c r="T9" s="2" t="s">
        <v>48</v>
      </c>
      <c r="U9" s="2" t="s">
        <v>49</v>
      </c>
      <c r="V9" s="2" t="s">
        <v>50</v>
      </c>
      <c r="W9" s="2">
        <v>12</v>
      </c>
      <c r="Y9" s="2" t="s">
        <v>47</v>
      </c>
      <c r="Z9" s="2" t="s">
        <v>52</v>
      </c>
      <c r="AB9" s="2" t="s">
        <v>53</v>
      </c>
      <c r="AD9" s="2" t="s">
        <v>54</v>
      </c>
      <c r="AE9" s="2" t="s">
        <v>55</v>
      </c>
      <c r="AF9" s="2">
        <v>3.8</v>
      </c>
      <c r="AG9" s="2">
        <v>200</v>
      </c>
      <c r="AH9" s="2">
        <f>+PACKING[[#This Row],[TOTAL CAJAS]]*3.8</f>
        <v>760</v>
      </c>
      <c r="AI9" s="2" t="s">
        <v>58</v>
      </c>
      <c r="AJ9" s="2" t="s">
        <v>49</v>
      </c>
      <c r="AK9" s="2" t="s">
        <v>49</v>
      </c>
      <c r="AL9" s="2" t="s">
        <v>51</v>
      </c>
      <c r="AM9" s="2" t="s">
        <v>56</v>
      </c>
      <c r="AN9" s="2"/>
    </row>
    <row r="10" spans="1:40" ht="15" customHeight="1" x14ac:dyDescent="0.3">
      <c r="A10" s="2" t="s">
        <v>41</v>
      </c>
      <c r="B10" s="2" t="s">
        <v>42</v>
      </c>
      <c r="C10" s="2">
        <v>4102</v>
      </c>
      <c r="D10" s="2" t="s">
        <v>43</v>
      </c>
      <c r="E10" s="2" t="s">
        <v>62</v>
      </c>
      <c r="F10" s="1" t="s">
        <v>66</v>
      </c>
      <c r="G10" s="1"/>
      <c r="H10" s="2"/>
      <c r="I10" s="2" t="s">
        <v>44</v>
      </c>
      <c r="J10" s="2" t="s">
        <v>60</v>
      </c>
      <c r="K10" s="2">
        <v>5702</v>
      </c>
      <c r="L10" s="2" t="s">
        <v>45</v>
      </c>
      <c r="M10" s="4">
        <v>46099</v>
      </c>
      <c r="N10" s="4">
        <v>46100</v>
      </c>
      <c r="O10" s="11" t="s">
        <v>61</v>
      </c>
      <c r="P10" s="2" t="s">
        <v>60</v>
      </c>
      <c r="Q10" s="2" t="s">
        <v>46</v>
      </c>
      <c r="R10" s="2" t="s">
        <v>49</v>
      </c>
      <c r="S10" s="2" t="s">
        <v>47</v>
      </c>
      <c r="T10" s="2" t="s">
        <v>48</v>
      </c>
      <c r="U10" s="2" t="s">
        <v>49</v>
      </c>
      <c r="V10" s="2" t="s">
        <v>50</v>
      </c>
      <c r="W10" s="2">
        <v>14</v>
      </c>
      <c r="Y10" s="2" t="s">
        <v>47</v>
      </c>
      <c r="Z10" s="2" t="s">
        <v>52</v>
      </c>
      <c r="AB10" s="2" t="s">
        <v>53</v>
      </c>
      <c r="AD10" s="2" t="s">
        <v>54</v>
      </c>
      <c r="AE10" s="2" t="s">
        <v>55</v>
      </c>
      <c r="AF10" s="2">
        <v>3.8</v>
      </c>
      <c r="AG10" s="2">
        <v>200</v>
      </c>
      <c r="AH10" s="2">
        <f>+PACKING[[#This Row],[TOTAL CAJAS]]*3.8</f>
        <v>760</v>
      </c>
      <c r="AI10" s="2" t="s">
        <v>59</v>
      </c>
      <c r="AJ10" s="2" t="s">
        <v>49</v>
      </c>
      <c r="AK10" s="2" t="s">
        <v>49</v>
      </c>
      <c r="AL10" s="2" t="s">
        <v>51</v>
      </c>
      <c r="AM10" s="2" t="s">
        <v>57</v>
      </c>
      <c r="AN10" s="2"/>
    </row>
    <row r="11" spans="1:40" ht="15" customHeight="1" x14ac:dyDescent="0.3">
      <c r="A11" s="2" t="s">
        <v>41</v>
      </c>
      <c r="B11" s="2" t="s">
        <v>42</v>
      </c>
      <c r="C11" s="2">
        <v>4102</v>
      </c>
      <c r="D11" s="2" t="s">
        <v>43</v>
      </c>
      <c r="E11" s="2" t="s">
        <v>62</v>
      </c>
      <c r="F11" s="1" t="s">
        <v>67</v>
      </c>
      <c r="G11" s="1"/>
      <c r="H11" s="2"/>
      <c r="I11" s="2" t="s">
        <v>44</v>
      </c>
      <c r="J11" s="2" t="s">
        <v>60</v>
      </c>
      <c r="K11" s="2">
        <v>5702</v>
      </c>
      <c r="L11" s="2" t="s">
        <v>45</v>
      </c>
      <c r="M11" s="4">
        <v>46099</v>
      </c>
      <c r="N11" s="4">
        <v>46100</v>
      </c>
      <c r="O11" s="11" t="s">
        <v>61</v>
      </c>
      <c r="P11" s="2" t="s">
        <v>60</v>
      </c>
      <c r="Q11" s="2" t="s">
        <v>46</v>
      </c>
      <c r="R11" s="2" t="s">
        <v>49</v>
      </c>
      <c r="S11" s="2" t="s">
        <v>47</v>
      </c>
      <c r="T11" s="2" t="s">
        <v>48</v>
      </c>
      <c r="U11" s="2" t="s">
        <v>49</v>
      </c>
      <c r="V11" s="2" t="s">
        <v>50</v>
      </c>
      <c r="W11" s="2">
        <v>12</v>
      </c>
      <c r="Y11" s="2" t="s">
        <v>47</v>
      </c>
      <c r="Z11" s="2" t="s">
        <v>52</v>
      </c>
      <c r="AB11" s="2" t="s">
        <v>53</v>
      </c>
      <c r="AD11" s="2" t="s">
        <v>54</v>
      </c>
      <c r="AE11" s="2" t="s">
        <v>55</v>
      </c>
      <c r="AF11" s="2">
        <v>3.8</v>
      </c>
      <c r="AG11" s="2">
        <v>200</v>
      </c>
      <c r="AH11" s="2">
        <f>+PACKING[[#This Row],[TOTAL CAJAS]]*3.8</f>
        <v>760</v>
      </c>
      <c r="AI11" s="2" t="s">
        <v>58</v>
      </c>
      <c r="AJ11" s="2" t="s">
        <v>49</v>
      </c>
      <c r="AK11" s="2" t="s">
        <v>49</v>
      </c>
      <c r="AL11" s="2" t="s">
        <v>51</v>
      </c>
      <c r="AM11" s="2" t="s">
        <v>56</v>
      </c>
      <c r="AN11" s="2"/>
    </row>
    <row r="12" spans="1:40" ht="15" customHeight="1" x14ac:dyDescent="0.3">
      <c r="A12" s="2" t="s">
        <v>41</v>
      </c>
      <c r="B12" s="2" t="s">
        <v>42</v>
      </c>
      <c r="C12" s="2">
        <v>4102</v>
      </c>
      <c r="D12" s="2" t="s">
        <v>43</v>
      </c>
      <c r="E12" s="2" t="s">
        <v>62</v>
      </c>
      <c r="F12" s="1" t="s">
        <v>68</v>
      </c>
      <c r="G12" s="1"/>
      <c r="H12" s="2"/>
      <c r="I12" s="2" t="s">
        <v>44</v>
      </c>
      <c r="J12" s="2" t="s">
        <v>60</v>
      </c>
      <c r="K12" s="2">
        <v>5702</v>
      </c>
      <c r="L12" s="2" t="s">
        <v>45</v>
      </c>
      <c r="M12" s="4">
        <v>46099</v>
      </c>
      <c r="N12" s="4">
        <v>46100</v>
      </c>
      <c r="O12" s="11" t="s">
        <v>61</v>
      </c>
      <c r="P12" s="2" t="s">
        <v>60</v>
      </c>
      <c r="Q12" s="2" t="s">
        <v>46</v>
      </c>
      <c r="R12" s="2" t="s">
        <v>49</v>
      </c>
      <c r="S12" s="2" t="s">
        <v>47</v>
      </c>
      <c r="T12" s="2" t="s">
        <v>48</v>
      </c>
      <c r="U12" s="2" t="s">
        <v>49</v>
      </c>
      <c r="V12" s="2" t="s">
        <v>50</v>
      </c>
      <c r="W12" s="2">
        <v>12</v>
      </c>
      <c r="Y12" s="2" t="s">
        <v>47</v>
      </c>
      <c r="Z12" s="2" t="s">
        <v>52</v>
      </c>
      <c r="AB12" s="2" t="s">
        <v>53</v>
      </c>
      <c r="AD12" s="2" t="s">
        <v>54</v>
      </c>
      <c r="AE12" s="2" t="s">
        <v>55</v>
      </c>
      <c r="AF12" s="2">
        <v>3.8</v>
      </c>
      <c r="AG12" s="2">
        <v>141</v>
      </c>
      <c r="AH12" s="2">
        <f>+PACKING[[#This Row],[TOTAL CAJAS]]*3.8</f>
        <v>535.79999999999995</v>
      </c>
      <c r="AI12" s="2" t="s">
        <v>58</v>
      </c>
      <c r="AJ12" s="2" t="s">
        <v>49</v>
      </c>
      <c r="AK12" s="2" t="s">
        <v>49</v>
      </c>
      <c r="AL12" s="2" t="s">
        <v>51</v>
      </c>
      <c r="AM12" s="2" t="s">
        <v>56</v>
      </c>
      <c r="AN12" s="2"/>
    </row>
    <row r="13" spans="1:40" ht="15" customHeight="1" x14ac:dyDescent="0.3">
      <c r="A13" s="2" t="s">
        <v>41</v>
      </c>
      <c r="B13" s="2" t="s">
        <v>42</v>
      </c>
      <c r="C13" s="2">
        <v>4102</v>
      </c>
      <c r="D13" s="2" t="s">
        <v>43</v>
      </c>
      <c r="E13" s="2" t="s">
        <v>62</v>
      </c>
      <c r="F13" s="1" t="s">
        <v>69</v>
      </c>
      <c r="G13" s="1"/>
      <c r="H13" s="2"/>
      <c r="I13" s="2" t="s">
        <v>44</v>
      </c>
      <c r="J13" s="2" t="s">
        <v>60</v>
      </c>
      <c r="K13" s="2">
        <v>5702</v>
      </c>
      <c r="L13" s="2" t="s">
        <v>45</v>
      </c>
      <c r="M13" s="4">
        <v>46099</v>
      </c>
      <c r="N13" s="4">
        <v>46100</v>
      </c>
      <c r="O13" s="11" t="s">
        <v>61</v>
      </c>
      <c r="P13" s="2" t="s">
        <v>60</v>
      </c>
      <c r="Q13" s="2" t="s">
        <v>46</v>
      </c>
      <c r="R13" s="2" t="s">
        <v>49</v>
      </c>
      <c r="S13" s="2" t="s">
        <v>47</v>
      </c>
      <c r="T13" s="2" t="s">
        <v>48</v>
      </c>
      <c r="U13" s="2" t="s">
        <v>49</v>
      </c>
      <c r="V13" s="2" t="s">
        <v>50</v>
      </c>
      <c r="W13" s="2">
        <v>14</v>
      </c>
      <c r="Y13" s="2" t="s">
        <v>47</v>
      </c>
      <c r="Z13" s="2" t="s">
        <v>52</v>
      </c>
      <c r="AB13" s="2" t="s">
        <v>53</v>
      </c>
      <c r="AD13" s="2" t="s">
        <v>54</v>
      </c>
      <c r="AE13" s="2" t="s">
        <v>55</v>
      </c>
      <c r="AF13" s="2">
        <v>3.8</v>
      </c>
      <c r="AG13" s="2">
        <v>114</v>
      </c>
      <c r="AH13" s="2">
        <f>+PACKING[[#This Row],[TOTAL CAJAS]]*3.8</f>
        <v>433.2</v>
      </c>
      <c r="AI13" s="2" t="s">
        <v>59</v>
      </c>
      <c r="AJ13" s="2" t="s">
        <v>49</v>
      </c>
      <c r="AK13" s="2" t="s">
        <v>49</v>
      </c>
      <c r="AL13" s="2" t="s">
        <v>51</v>
      </c>
      <c r="AM13" s="2" t="s">
        <v>57</v>
      </c>
      <c r="AN13" s="2"/>
    </row>
    <row r="14" spans="1:40" ht="15" customHeight="1" x14ac:dyDescent="0.3">
      <c r="A14" s="2" t="s">
        <v>41</v>
      </c>
      <c r="B14" s="2" t="s">
        <v>42</v>
      </c>
      <c r="C14" s="2">
        <v>4102</v>
      </c>
      <c r="D14" s="2" t="s">
        <v>43</v>
      </c>
      <c r="E14" s="2" t="s">
        <v>62</v>
      </c>
      <c r="F14" s="1" t="s">
        <v>68</v>
      </c>
      <c r="G14" s="1"/>
      <c r="H14" s="2"/>
      <c r="I14" s="2" t="s">
        <v>44</v>
      </c>
      <c r="J14" s="2" t="s">
        <v>83</v>
      </c>
      <c r="K14" s="2">
        <v>5702</v>
      </c>
      <c r="L14" s="2" t="s">
        <v>45</v>
      </c>
      <c r="M14" s="4">
        <v>46100</v>
      </c>
      <c r="N14" s="4">
        <v>46101</v>
      </c>
      <c r="O14" s="11" t="s">
        <v>85</v>
      </c>
      <c r="P14" s="2" t="s">
        <v>83</v>
      </c>
      <c r="Q14" s="2" t="s">
        <v>46</v>
      </c>
      <c r="R14" s="2" t="s">
        <v>49</v>
      </c>
      <c r="S14" s="2" t="s">
        <v>47</v>
      </c>
      <c r="T14" s="2" t="s">
        <v>48</v>
      </c>
      <c r="U14" s="2" t="s">
        <v>49</v>
      </c>
      <c r="V14" s="2" t="s">
        <v>50</v>
      </c>
      <c r="W14" s="2">
        <v>12</v>
      </c>
      <c r="Y14" s="2" t="s">
        <v>47</v>
      </c>
      <c r="Z14" s="2" t="s">
        <v>52</v>
      </c>
      <c r="AB14" s="2" t="s">
        <v>53</v>
      </c>
      <c r="AD14" s="2" t="s">
        <v>54</v>
      </c>
      <c r="AE14" s="2" t="s">
        <v>55</v>
      </c>
      <c r="AF14" s="2">
        <v>3.8</v>
      </c>
      <c r="AG14" s="2">
        <v>59</v>
      </c>
      <c r="AH14" s="2">
        <f>+PACKING[[#This Row],[TOTAL CAJAS]]*3.8</f>
        <v>224.2</v>
      </c>
      <c r="AI14" s="2" t="s">
        <v>58</v>
      </c>
      <c r="AJ14" s="2" t="s">
        <v>49</v>
      </c>
      <c r="AK14" s="2" t="s">
        <v>49</v>
      </c>
      <c r="AL14" s="2" t="s">
        <v>51</v>
      </c>
      <c r="AM14" s="2" t="s">
        <v>56</v>
      </c>
      <c r="AN14" s="2"/>
    </row>
    <row r="15" spans="1:40" ht="15" customHeight="1" x14ac:dyDescent="0.3">
      <c r="A15" s="2" t="s">
        <v>41</v>
      </c>
      <c r="B15" s="2" t="s">
        <v>42</v>
      </c>
      <c r="C15" s="2">
        <v>4102</v>
      </c>
      <c r="D15" s="2" t="s">
        <v>43</v>
      </c>
      <c r="E15" s="2" t="s">
        <v>62</v>
      </c>
      <c r="F15" s="1" t="s">
        <v>69</v>
      </c>
      <c r="G15" s="1"/>
      <c r="H15" s="2"/>
      <c r="I15" s="2" t="s">
        <v>44</v>
      </c>
      <c r="J15" s="2" t="s">
        <v>83</v>
      </c>
      <c r="K15" s="2">
        <v>5702</v>
      </c>
      <c r="L15" s="2" t="s">
        <v>45</v>
      </c>
      <c r="M15" s="4">
        <v>46100</v>
      </c>
      <c r="N15" s="4">
        <v>46101</v>
      </c>
      <c r="O15" s="11" t="s">
        <v>85</v>
      </c>
      <c r="P15" s="2" t="s">
        <v>83</v>
      </c>
      <c r="Q15" s="2" t="s">
        <v>46</v>
      </c>
      <c r="R15" s="2" t="s">
        <v>49</v>
      </c>
      <c r="S15" s="2" t="s">
        <v>47</v>
      </c>
      <c r="T15" s="2" t="s">
        <v>48</v>
      </c>
      <c r="U15" s="2" t="s">
        <v>49</v>
      </c>
      <c r="V15" s="2" t="s">
        <v>50</v>
      </c>
      <c r="W15" s="2">
        <v>14</v>
      </c>
      <c r="Y15" s="2" t="s">
        <v>47</v>
      </c>
      <c r="Z15" s="2" t="s">
        <v>52</v>
      </c>
      <c r="AB15" s="2" t="s">
        <v>53</v>
      </c>
      <c r="AD15" s="2" t="s">
        <v>54</v>
      </c>
      <c r="AE15" s="2" t="s">
        <v>55</v>
      </c>
      <c r="AF15" s="2">
        <v>3.8</v>
      </c>
      <c r="AG15" s="2">
        <v>86</v>
      </c>
      <c r="AH15" s="2">
        <f>+PACKING[[#This Row],[TOTAL CAJAS]]*3.8</f>
        <v>326.8</v>
      </c>
      <c r="AI15" s="2" t="s">
        <v>59</v>
      </c>
      <c r="AJ15" s="2" t="s">
        <v>49</v>
      </c>
      <c r="AK15" s="2" t="s">
        <v>49</v>
      </c>
      <c r="AL15" s="2" t="s">
        <v>51</v>
      </c>
      <c r="AM15" s="2" t="s">
        <v>57</v>
      </c>
      <c r="AN15" s="2"/>
    </row>
    <row r="16" spans="1:40" ht="15" customHeight="1" x14ac:dyDescent="0.3">
      <c r="A16" s="2" t="s">
        <v>41</v>
      </c>
      <c r="B16" s="2" t="s">
        <v>42</v>
      </c>
      <c r="C16" s="2">
        <v>4102</v>
      </c>
      <c r="D16" s="2" t="s">
        <v>43</v>
      </c>
      <c r="E16" s="2" t="s">
        <v>62</v>
      </c>
      <c r="F16" s="1" t="s">
        <v>70</v>
      </c>
      <c r="G16" s="1"/>
      <c r="H16" s="2"/>
      <c r="I16" s="2" t="s">
        <v>44</v>
      </c>
      <c r="J16" s="2" t="s">
        <v>83</v>
      </c>
      <c r="K16" s="2">
        <v>5702</v>
      </c>
      <c r="L16" s="2" t="s">
        <v>45</v>
      </c>
      <c r="M16" s="4">
        <v>46100</v>
      </c>
      <c r="N16" s="4">
        <v>46101</v>
      </c>
      <c r="O16" s="11" t="s">
        <v>85</v>
      </c>
      <c r="P16" s="2" t="s">
        <v>83</v>
      </c>
      <c r="Q16" s="2" t="s">
        <v>46</v>
      </c>
      <c r="R16" s="2" t="s">
        <v>49</v>
      </c>
      <c r="S16" s="2" t="s">
        <v>47</v>
      </c>
      <c r="T16" s="2" t="s">
        <v>48</v>
      </c>
      <c r="U16" s="2" t="s">
        <v>49</v>
      </c>
      <c r="V16" s="2" t="s">
        <v>50</v>
      </c>
      <c r="W16" s="2">
        <v>12</v>
      </c>
      <c r="Y16" s="2" t="s">
        <v>47</v>
      </c>
      <c r="Z16" s="2" t="s">
        <v>52</v>
      </c>
      <c r="AB16" s="2" t="s">
        <v>53</v>
      </c>
      <c r="AD16" s="2" t="s">
        <v>54</v>
      </c>
      <c r="AE16" s="2" t="s">
        <v>55</v>
      </c>
      <c r="AF16" s="2">
        <v>3.8</v>
      </c>
      <c r="AG16" s="2">
        <v>200</v>
      </c>
      <c r="AH16" s="2">
        <f>+PACKING[[#This Row],[TOTAL CAJAS]]*3.8</f>
        <v>760</v>
      </c>
      <c r="AI16" s="2" t="s">
        <v>58</v>
      </c>
      <c r="AJ16" s="2" t="s">
        <v>49</v>
      </c>
      <c r="AK16" s="2" t="s">
        <v>49</v>
      </c>
      <c r="AL16" s="2" t="s">
        <v>51</v>
      </c>
      <c r="AM16" s="2" t="s">
        <v>56</v>
      </c>
      <c r="AN16" s="2"/>
    </row>
    <row r="17" spans="1:40" ht="15" customHeight="1" x14ac:dyDescent="0.3">
      <c r="A17" s="2" t="s">
        <v>41</v>
      </c>
      <c r="B17" s="2" t="s">
        <v>42</v>
      </c>
      <c r="C17" s="2">
        <v>4102</v>
      </c>
      <c r="D17" s="2" t="s">
        <v>43</v>
      </c>
      <c r="E17" s="2" t="s">
        <v>62</v>
      </c>
      <c r="F17" s="1" t="s">
        <v>71</v>
      </c>
      <c r="G17" s="1"/>
      <c r="H17" s="2"/>
      <c r="I17" s="2" t="s">
        <v>44</v>
      </c>
      <c r="J17" s="2" t="s">
        <v>83</v>
      </c>
      <c r="K17" s="2">
        <v>5702</v>
      </c>
      <c r="L17" s="2" t="s">
        <v>45</v>
      </c>
      <c r="M17" s="4">
        <v>46100</v>
      </c>
      <c r="N17" s="4">
        <v>46101</v>
      </c>
      <c r="O17" s="11" t="s">
        <v>85</v>
      </c>
      <c r="P17" s="2" t="s">
        <v>83</v>
      </c>
      <c r="Q17" s="2" t="s">
        <v>46</v>
      </c>
      <c r="R17" s="2" t="s">
        <v>49</v>
      </c>
      <c r="S17" s="2" t="s">
        <v>47</v>
      </c>
      <c r="T17" s="2" t="s">
        <v>48</v>
      </c>
      <c r="U17" s="2" t="s">
        <v>49</v>
      </c>
      <c r="V17" s="2" t="s">
        <v>50</v>
      </c>
      <c r="W17" s="2">
        <v>12</v>
      </c>
      <c r="Y17" s="2" t="s">
        <v>47</v>
      </c>
      <c r="Z17" s="2" t="s">
        <v>52</v>
      </c>
      <c r="AB17" s="2" t="s">
        <v>53</v>
      </c>
      <c r="AD17" s="2" t="s">
        <v>54</v>
      </c>
      <c r="AE17" s="2" t="s">
        <v>55</v>
      </c>
      <c r="AF17" s="2">
        <v>3.8</v>
      </c>
      <c r="AG17" s="2">
        <v>200</v>
      </c>
      <c r="AH17" s="2">
        <f>+PACKING[[#This Row],[TOTAL CAJAS]]*3.8</f>
        <v>760</v>
      </c>
      <c r="AI17" s="2" t="s">
        <v>58</v>
      </c>
      <c r="AJ17" s="2" t="s">
        <v>49</v>
      </c>
      <c r="AK17" s="2" t="s">
        <v>49</v>
      </c>
      <c r="AL17" s="2" t="s">
        <v>51</v>
      </c>
      <c r="AM17" s="2" t="s">
        <v>56</v>
      </c>
      <c r="AN17" s="2"/>
    </row>
    <row r="18" spans="1:40" ht="15" customHeight="1" x14ac:dyDescent="0.3">
      <c r="A18" s="2" t="s">
        <v>41</v>
      </c>
      <c r="B18" s="2" t="s">
        <v>42</v>
      </c>
      <c r="C18" s="2">
        <v>4102</v>
      </c>
      <c r="D18" s="2" t="s">
        <v>43</v>
      </c>
      <c r="E18" s="2" t="s">
        <v>62</v>
      </c>
      <c r="F18" s="1" t="s">
        <v>72</v>
      </c>
      <c r="G18" s="1"/>
      <c r="H18" s="2"/>
      <c r="I18" s="2" t="s">
        <v>44</v>
      </c>
      <c r="J18" s="2" t="s">
        <v>83</v>
      </c>
      <c r="K18" s="2">
        <v>5702</v>
      </c>
      <c r="L18" s="2" t="s">
        <v>45</v>
      </c>
      <c r="M18" s="4">
        <v>46100</v>
      </c>
      <c r="N18" s="4">
        <v>46101</v>
      </c>
      <c r="O18" s="11" t="s">
        <v>85</v>
      </c>
      <c r="P18" s="2" t="s">
        <v>83</v>
      </c>
      <c r="Q18" s="2" t="s">
        <v>46</v>
      </c>
      <c r="R18" s="2" t="s">
        <v>49</v>
      </c>
      <c r="S18" s="2" t="s">
        <v>47</v>
      </c>
      <c r="T18" s="2" t="s">
        <v>48</v>
      </c>
      <c r="U18" s="2" t="s">
        <v>49</v>
      </c>
      <c r="V18" s="2" t="s">
        <v>50</v>
      </c>
      <c r="W18" s="2">
        <v>12</v>
      </c>
      <c r="Y18" s="2" t="s">
        <v>47</v>
      </c>
      <c r="Z18" s="2" t="s">
        <v>52</v>
      </c>
      <c r="AB18" s="2" t="s">
        <v>53</v>
      </c>
      <c r="AD18" s="2" t="s">
        <v>54</v>
      </c>
      <c r="AE18" s="2" t="s">
        <v>55</v>
      </c>
      <c r="AF18" s="2">
        <v>3.8</v>
      </c>
      <c r="AG18" s="2">
        <v>200</v>
      </c>
      <c r="AH18" s="2">
        <f>+PACKING[[#This Row],[TOTAL CAJAS]]*3.8</f>
        <v>760</v>
      </c>
      <c r="AI18" s="2" t="s">
        <v>58</v>
      </c>
      <c r="AJ18" s="2" t="s">
        <v>49</v>
      </c>
      <c r="AK18" s="2" t="s">
        <v>49</v>
      </c>
      <c r="AL18" s="2" t="s">
        <v>51</v>
      </c>
      <c r="AM18" s="2" t="s">
        <v>56</v>
      </c>
      <c r="AN18" s="2"/>
    </row>
    <row r="19" spans="1:40" ht="15" customHeight="1" x14ac:dyDescent="0.3">
      <c r="A19" s="2" t="s">
        <v>41</v>
      </c>
      <c r="B19" s="2" t="s">
        <v>42</v>
      </c>
      <c r="C19" s="2">
        <v>4102</v>
      </c>
      <c r="D19" s="2" t="s">
        <v>43</v>
      </c>
      <c r="E19" s="2" t="s">
        <v>62</v>
      </c>
      <c r="F19" s="1" t="s">
        <v>73</v>
      </c>
      <c r="G19" s="1"/>
      <c r="H19" s="2"/>
      <c r="I19" s="2" t="s">
        <v>44</v>
      </c>
      <c r="J19" s="2" t="s">
        <v>83</v>
      </c>
      <c r="K19" s="2">
        <v>5702</v>
      </c>
      <c r="L19" s="2" t="s">
        <v>45</v>
      </c>
      <c r="M19" s="4">
        <v>46100</v>
      </c>
      <c r="N19" s="4">
        <v>46101</v>
      </c>
      <c r="O19" s="11" t="s">
        <v>85</v>
      </c>
      <c r="P19" s="2" t="s">
        <v>83</v>
      </c>
      <c r="Q19" s="2" t="s">
        <v>46</v>
      </c>
      <c r="R19" s="2" t="s">
        <v>49</v>
      </c>
      <c r="S19" s="2" t="s">
        <v>47</v>
      </c>
      <c r="T19" s="2" t="s">
        <v>48</v>
      </c>
      <c r="U19" s="2" t="s">
        <v>49</v>
      </c>
      <c r="V19" s="2" t="s">
        <v>50</v>
      </c>
      <c r="W19" s="2">
        <v>14</v>
      </c>
      <c r="Y19" s="2" t="s">
        <v>47</v>
      </c>
      <c r="Z19" s="2" t="s">
        <v>52</v>
      </c>
      <c r="AB19" s="2" t="s">
        <v>53</v>
      </c>
      <c r="AD19" s="2" t="s">
        <v>54</v>
      </c>
      <c r="AE19" s="2" t="s">
        <v>55</v>
      </c>
      <c r="AF19" s="2">
        <v>3.8</v>
      </c>
      <c r="AG19" s="2">
        <v>200</v>
      </c>
      <c r="AH19" s="2">
        <f>+PACKING[[#This Row],[TOTAL CAJAS]]*3.8</f>
        <v>760</v>
      </c>
      <c r="AI19" s="2" t="s">
        <v>59</v>
      </c>
      <c r="AJ19" s="2" t="s">
        <v>49</v>
      </c>
      <c r="AK19" s="2" t="s">
        <v>49</v>
      </c>
      <c r="AL19" s="2" t="s">
        <v>51</v>
      </c>
      <c r="AM19" s="2" t="s">
        <v>57</v>
      </c>
      <c r="AN19" s="2"/>
    </row>
    <row r="20" spans="1:40" ht="15" customHeight="1" x14ac:dyDescent="0.3">
      <c r="A20" s="2" t="s">
        <v>41</v>
      </c>
      <c r="B20" s="2" t="s">
        <v>42</v>
      </c>
      <c r="C20" s="2">
        <v>4102</v>
      </c>
      <c r="D20" s="2" t="s">
        <v>43</v>
      </c>
      <c r="E20" s="2" t="s">
        <v>62</v>
      </c>
      <c r="F20" s="1" t="s">
        <v>74</v>
      </c>
      <c r="G20" s="1"/>
      <c r="H20" s="2"/>
      <c r="I20" s="2" t="s">
        <v>44</v>
      </c>
      <c r="J20" s="2" t="s">
        <v>83</v>
      </c>
      <c r="K20" s="2">
        <v>5702</v>
      </c>
      <c r="L20" s="2" t="s">
        <v>45</v>
      </c>
      <c r="M20" s="4">
        <v>46100</v>
      </c>
      <c r="N20" s="4">
        <v>46101</v>
      </c>
      <c r="O20" s="11" t="s">
        <v>85</v>
      </c>
      <c r="P20" s="2" t="s">
        <v>83</v>
      </c>
      <c r="Q20" s="2" t="s">
        <v>46</v>
      </c>
      <c r="R20" s="2" t="s">
        <v>49</v>
      </c>
      <c r="S20" s="2" t="s">
        <v>47</v>
      </c>
      <c r="T20" s="2" t="s">
        <v>48</v>
      </c>
      <c r="U20" s="2" t="s">
        <v>49</v>
      </c>
      <c r="V20" s="2" t="s">
        <v>50</v>
      </c>
      <c r="W20" s="2">
        <v>12</v>
      </c>
      <c r="Y20" s="2" t="s">
        <v>47</v>
      </c>
      <c r="Z20" s="2" t="s">
        <v>52</v>
      </c>
      <c r="AB20" s="2" t="s">
        <v>53</v>
      </c>
      <c r="AD20" s="2" t="s">
        <v>54</v>
      </c>
      <c r="AE20" s="2" t="s">
        <v>55</v>
      </c>
      <c r="AF20" s="2">
        <v>3.8</v>
      </c>
      <c r="AG20" s="2">
        <v>200</v>
      </c>
      <c r="AH20" s="2">
        <f>+PACKING[[#This Row],[TOTAL CAJAS]]*3.8</f>
        <v>760</v>
      </c>
      <c r="AI20" s="2" t="s">
        <v>58</v>
      </c>
      <c r="AJ20" s="2" t="s">
        <v>49</v>
      </c>
      <c r="AK20" s="2" t="s">
        <v>49</v>
      </c>
      <c r="AL20" s="2" t="s">
        <v>51</v>
      </c>
      <c r="AM20" s="2" t="s">
        <v>56</v>
      </c>
      <c r="AN20" s="2"/>
    </row>
    <row r="21" spans="1:40" ht="15" customHeight="1" x14ac:dyDescent="0.3">
      <c r="A21" s="2" t="s">
        <v>41</v>
      </c>
      <c r="B21" s="2" t="s">
        <v>42</v>
      </c>
      <c r="C21" s="2">
        <v>4102</v>
      </c>
      <c r="D21" s="2" t="s">
        <v>43</v>
      </c>
      <c r="E21" s="2" t="s">
        <v>62</v>
      </c>
      <c r="F21" s="1" t="s">
        <v>75</v>
      </c>
      <c r="G21" s="1"/>
      <c r="H21" s="2"/>
      <c r="I21" s="2" t="s">
        <v>44</v>
      </c>
      <c r="J21" s="2" t="s">
        <v>83</v>
      </c>
      <c r="K21" s="2">
        <v>5702</v>
      </c>
      <c r="L21" s="2" t="s">
        <v>45</v>
      </c>
      <c r="M21" s="4">
        <v>46100</v>
      </c>
      <c r="N21" s="4">
        <v>46101</v>
      </c>
      <c r="O21" s="11" t="s">
        <v>85</v>
      </c>
      <c r="P21" s="2" t="s">
        <v>83</v>
      </c>
      <c r="Q21" s="2" t="s">
        <v>46</v>
      </c>
      <c r="R21" s="2" t="s">
        <v>49</v>
      </c>
      <c r="S21" s="2" t="s">
        <v>47</v>
      </c>
      <c r="T21" s="2" t="s">
        <v>48</v>
      </c>
      <c r="U21" s="2" t="s">
        <v>49</v>
      </c>
      <c r="V21" s="2" t="s">
        <v>50</v>
      </c>
      <c r="W21" s="2">
        <v>12</v>
      </c>
      <c r="Y21" s="2" t="s">
        <v>47</v>
      </c>
      <c r="Z21" s="2" t="s">
        <v>52</v>
      </c>
      <c r="AB21" s="2" t="s">
        <v>53</v>
      </c>
      <c r="AD21" s="2" t="s">
        <v>54</v>
      </c>
      <c r="AE21" s="2" t="s">
        <v>55</v>
      </c>
      <c r="AF21" s="2">
        <v>3.8</v>
      </c>
      <c r="AG21" s="2">
        <v>200</v>
      </c>
      <c r="AH21" s="2">
        <f>+PACKING[[#This Row],[TOTAL CAJAS]]*3.8</f>
        <v>760</v>
      </c>
      <c r="AI21" s="2" t="s">
        <v>58</v>
      </c>
      <c r="AJ21" s="2" t="s">
        <v>49</v>
      </c>
      <c r="AK21" s="2" t="s">
        <v>49</v>
      </c>
      <c r="AL21" s="2" t="s">
        <v>51</v>
      </c>
      <c r="AM21" s="2" t="s">
        <v>56</v>
      </c>
      <c r="AN21" s="2"/>
    </row>
    <row r="22" spans="1:40" ht="15" customHeight="1" x14ac:dyDescent="0.3">
      <c r="A22" s="2" t="s">
        <v>41</v>
      </c>
      <c r="B22" s="2" t="s">
        <v>42</v>
      </c>
      <c r="C22" s="2">
        <v>4102</v>
      </c>
      <c r="D22" s="2" t="s">
        <v>43</v>
      </c>
      <c r="E22" s="2" t="s">
        <v>62</v>
      </c>
      <c r="F22" s="1" t="s">
        <v>76</v>
      </c>
      <c r="G22" s="1"/>
      <c r="H22" s="2"/>
      <c r="I22" s="2" t="s">
        <v>44</v>
      </c>
      <c r="J22" s="2" t="s">
        <v>83</v>
      </c>
      <c r="K22" s="2">
        <v>5702</v>
      </c>
      <c r="L22" s="2" t="s">
        <v>45</v>
      </c>
      <c r="M22" s="4">
        <v>46100</v>
      </c>
      <c r="N22" s="4">
        <v>46101</v>
      </c>
      <c r="O22" s="11" t="s">
        <v>85</v>
      </c>
      <c r="P22" s="2" t="s">
        <v>83</v>
      </c>
      <c r="Q22" s="2" t="s">
        <v>46</v>
      </c>
      <c r="R22" s="2" t="s">
        <v>49</v>
      </c>
      <c r="S22" s="2" t="s">
        <v>47</v>
      </c>
      <c r="T22" s="2" t="s">
        <v>48</v>
      </c>
      <c r="U22" s="2" t="s">
        <v>49</v>
      </c>
      <c r="V22" s="2" t="s">
        <v>50</v>
      </c>
      <c r="W22" s="2">
        <v>14</v>
      </c>
      <c r="Y22" s="2" t="s">
        <v>47</v>
      </c>
      <c r="Z22" s="2" t="s">
        <v>52</v>
      </c>
      <c r="AB22" s="2" t="s">
        <v>53</v>
      </c>
      <c r="AD22" s="2" t="s">
        <v>54</v>
      </c>
      <c r="AE22" s="2" t="s">
        <v>55</v>
      </c>
      <c r="AF22" s="2">
        <v>3.8</v>
      </c>
      <c r="AG22" s="2">
        <v>200</v>
      </c>
      <c r="AH22" s="2">
        <f>+PACKING[[#This Row],[TOTAL CAJAS]]*3.8</f>
        <v>760</v>
      </c>
      <c r="AI22" s="2" t="s">
        <v>59</v>
      </c>
      <c r="AJ22" s="2" t="s">
        <v>49</v>
      </c>
      <c r="AK22" s="2" t="s">
        <v>49</v>
      </c>
      <c r="AL22" s="2" t="s">
        <v>51</v>
      </c>
      <c r="AM22" s="2" t="s">
        <v>57</v>
      </c>
      <c r="AN22" s="2"/>
    </row>
    <row r="23" spans="1:40" ht="15" customHeight="1" x14ac:dyDescent="0.3">
      <c r="A23" s="2" t="s">
        <v>41</v>
      </c>
      <c r="B23" s="2" t="s">
        <v>42</v>
      </c>
      <c r="C23" s="2">
        <v>4102</v>
      </c>
      <c r="D23" s="2" t="s">
        <v>43</v>
      </c>
      <c r="E23" s="2" t="s">
        <v>62</v>
      </c>
      <c r="F23" s="1" t="s">
        <v>77</v>
      </c>
      <c r="G23" s="1"/>
      <c r="H23" s="2"/>
      <c r="I23" s="2" t="s">
        <v>44</v>
      </c>
      <c r="J23" s="2" t="s">
        <v>83</v>
      </c>
      <c r="K23" s="2">
        <v>5702</v>
      </c>
      <c r="L23" s="2" t="s">
        <v>45</v>
      </c>
      <c r="M23" s="4">
        <v>46100</v>
      </c>
      <c r="N23" s="4">
        <v>46101</v>
      </c>
      <c r="O23" s="11" t="s">
        <v>85</v>
      </c>
      <c r="P23" s="2" t="s">
        <v>83</v>
      </c>
      <c r="Q23" s="2" t="s">
        <v>46</v>
      </c>
      <c r="R23" s="2" t="s">
        <v>49</v>
      </c>
      <c r="S23" s="2" t="s">
        <v>47</v>
      </c>
      <c r="T23" s="2" t="s">
        <v>48</v>
      </c>
      <c r="U23" s="2" t="s">
        <v>49</v>
      </c>
      <c r="V23" s="2" t="s">
        <v>50</v>
      </c>
      <c r="W23" s="2">
        <v>12</v>
      </c>
      <c r="Y23" s="2" t="s">
        <v>47</v>
      </c>
      <c r="Z23" s="2" t="s">
        <v>52</v>
      </c>
      <c r="AB23" s="2" t="s">
        <v>53</v>
      </c>
      <c r="AD23" s="2" t="s">
        <v>54</v>
      </c>
      <c r="AE23" s="2" t="s">
        <v>55</v>
      </c>
      <c r="AF23" s="2">
        <v>3.8</v>
      </c>
      <c r="AG23" s="2">
        <v>200</v>
      </c>
      <c r="AH23" s="2">
        <f>+PACKING[[#This Row],[TOTAL CAJAS]]*3.8</f>
        <v>760</v>
      </c>
      <c r="AI23" s="2" t="s">
        <v>58</v>
      </c>
      <c r="AJ23" s="2" t="s">
        <v>49</v>
      </c>
      <c r="AK23" s="2" t="s">
        <v>49</v>
      </c>
      <c r="AL23" s="2" t="s">
        <v>51</v>
      </c>
      <c r="AM23" s="2" t="s">
        <v>56</v>
      </c>
      <c r="AN23" s="2"/>
    </row>
    <row r="24" spans="1:40" ht="15" customHeight="1" x14ac:dyDescent="0.3">
      <c r="A24" s="2" t="s">
        <v>41</v>
      </c>
      <c r="B24" s="2" t="s">
        <v>42</v>
      </c>
      <c r="C24" s="2">
        <v>4102</v>
      </c>
      <c r="D24" s="2" t="s">
        <v>43</v>
      </c>
      <c r="E24" s="2" t="s">
        <v>62</v>
      </c>
      <c r="F24" s="1" t="s">
        <v>78</v>
      </c>
      <c r="G24" s="1"/>
      <c r="H24" s="2"/>
      <c r="I24" s="2" t="s">
        <v>44</v>
      </c>
      <c r="J24" s="2" t="s">
        <v>83</v>
      </c>
      <c r="K24" s="2">
        <v>5702</v>
      </c>
      <c r="L24" s="2" t="s">
        <v>45</v>
      </c>
      <c r="M24" s="4">
        <v>46100</v>
      </c>
      <c r="N24" s="4">
        <v>46101</v>
      </c>
      <c r="O24" s="11" t="s">
        <v>85</v>
      </c>
      <c r="P24" s="2" t="s">
        <v>83</v>
      </c>
      <c r="Q24" s="2" t="s">
        <v>46</v>
      </c>
      <c r="R24" s="2" t="s">
        <v>49</v>
      </c>
      <c r="S24" s="2" t="s">
        <v>47</v>
      </c>
      <c r="T24" s="2" t="s">
        <v>48</v>
      </c>
      <c r="U24" s="2" t="s">
        <v>49</v>
      </c>
      <c r="V24" s="2" t="s">
        <v>50</v>
      </c>
      <c r="W24" s="2">
        <v>12</v>
      </c>
      <c r="Y24" s="2" t="s">
        <v>47</v>
      </c>
      <c r="Z24" s="2" t="s">
        <v>52</v>
      </c>
      <c r="AB24" s="2" t="s">
        <v>53</v>
      </c>
      <c r="AD24" s="2" t="s">
        <v>54</v>
      </c>
      <c r="AE24" s="2" t="s">
        <v>55</v>
      </c>
      <c r="AF24" s="2">
        <v>3.8</v>
      </c>
      <c r="AG24" s="2">
        <v>200</v>
      </c>
      <c r="AH24" s="2">
        <f>+PACKING[[#This Row],[TOTAL CAJAS]]*3.8</f>
        <v>760</v>
      </c>
      <c r="AI24" s="2" t="s">
        <v>58</v>
      </c>
      <c r="AJ24" s="2" t="s">
        <v>49</v>
      </c>
      <c r="AK24" s="2" t="s">
        <v>49</v>
      </c>
      <c r="AL24" s="2" t="s">
        <v>51</v>
      </c>
      <c r="AM24" s="2" t="s">
        <v>56</v>
      </c>
      <c r="AN24" s="2"/>
    </row>
    <row r="25" spans="1:40" ht="15" customHeight="1" x14ac:dyDescent="0.3">
      <c r="A25" s="2" t="s">
        <v>41</v>
      </c>
      <c r="B25" s="2" t="s">
        <v>42</v>
      </c>
      <c r="C25" s="2">
        <v>4102</v>
      </c>
      <c r="D25" s="2" t="s">
        <v>43</v>
      </c>
      <c r="E25" s="2" t="s">
        <v>62</v>
      </c>
      <c r="F25" s="1" t="s">
        <v>79</v>
      </c>
      <c r="G25" s="1"/>
      <c r="H25" s="2"/>
      <c r="I25" s="2" t="s">
        <v>44</v>
      </c>
      <c r="J25" s="2" t="s">
        <v>83</v>
      </c>
      <c r="K25" s="2">
        <v>5702</v>
      </c>
      <c r="L25" s="2" t="s">
        <v>45</v>
      </c>
      <c r="M25" s="4">
        <v>46100</v>
      </c>
      <c r="N25" s="4">
        <v>46101</v>
      </c>
      <c r="O25" s="11" t="s">
        <v>85</v>
      </c>
      <c r="P25" s="2" t="s">
        <v>83</v>
      </c>
      <c r="Q25" s="2" t="s">
        <v>46</v>
      </c>
      <c r="R25" s="2" t="s">
        <v>49</v>
      </c>
      <c r="S25" s="2" t="s">
        <v>47</v>
      </c>
      <c r="T25" s="2" t="s">
        <v>48</v>
      </c>
      <c r="U25" s="2" t="s">
        <v>49</v>
      </c>
      <c r="V25" s="2" t="s">
        <v>50</v>
      </c>
      <c r="W25" s="2">
        <v>12</v>
      </c>
      <c r="Y25" s="2" t="s">
        <v>47</v>
      </c>
      <c r="Z25" s="2" t="s">
        <v>52</v>
      </c>
      <c r="AB25" s="2" t="s">
        <v>53</v>
      </c>
      <c r="AD25" s="2" t="s">
        <v>54</v>
      </c>
      <c r="AE25" s="2" t="s">
        <v>55</v>
      </c>
      <c r="AF25" s="2">
        <v>3.8</v>
      </c>
      <c r="AG25" s="2">
        <v>200</v>
      </c>
      <c r="AH25" s="2">
        <f>+PACKING[[#This Row],[TOTAL CAJAS]]*3.8</f>
        <v>760</v>
      </c>
      <c r="AI25" s="2" t="s">
        <v>58</v>
      </c>
      <c r="AJ25" s="2" t="s">
        <v>49</v>
      </c>
      <c r="AK25" s="2" t="s">
        <v>49</v>
      </c>
      <c r="AL25" s="2" t="s">
        <v>51</v>
      </c>
      <c r="AM25" s="2" t="s">
        <v>56</v>
      </c>
      <c r="AN25" s="2"/>
    </row>
    <row r="26" spans="1:40" ht="15" customHeight="1" x14ac:dyDescent="0.3">
      <c r="A26" s="2" t="s">
        <v>41</v>
      </c>
      <c r="B26" s="2" t="s">
        <v>42</v>
      </c>
      <c r="C26" s="2">
        <v>4102</v>
      </c>
      <c r="D26" s="2" t="s">
        <v>43</v>
      </c>
      <c r="E26" s="2" t="s">
        <v>62</v>
      </c>
      <c r="F26" s="1" t="s">
        <v>80</v>
      </c>
      <c r="G26" s="1"/>
      <c r="H26" s="2"/>
      <c r="I26" s="2" t="s">
        <v>44</v>
      </c>
      <c r="J26" s="2" t="s">
        <v>84</v>
      </c>
      <c r="K26" s="2">
        <v>5701</v>
      </c>
      <c r="L26" s="2" t="s">
        <v>45</v>
      </c>
      <c r="M26" s="4">
        <v>46100</v>
      </c>
      <c r="N26" s="4">
        <v>46101</v>
      </c>
      <c r="O26" s="11" t="s">
        <v>85</v>
      </c>
      <c r="P26" s="2" t="s">
        <v>84</v>
      </c>
      <c r="Q26" s="2" t="s">
        <v>46</v>
      </c>
      <c r="R26" s="2" t="s">
        <v>49</v>
      </c>
      <c r="S26" s="2" t="s">
        <v>47</v>
      </c>
      <c r="T26" s="2" t="s">
        <v>48</v>
      </c>
      <c r="U26" s="2" t="s">
        <v>49</v>
      </c>
      <c r="V26" s="2" t="s">
        <v>50</v>
      </c>
      <c r="W26" s="2">
        <v>12</v>
      </c>
      <c r="Y26" s="2" t="s">
        <v>47</v>
      </c>
      <c r="Z26" s="2" t="s">
        <v>52</v>
      </c>
      <c r="AB26" s="2" t="s">
        <v>53</v>
      </c>
      <c r="AD26" s="2" t="s">
        <v>54</v>
      </c>
      <c r="AE26" s="2" t="s">
        <v>55</v>
      </c>
      <c r="AF26" s="2">
        <v>3.8</v>
      </c>
      <c r="AG26" s="2">
        <v>200</v>
      </c>
      <c r="AH26" s="2">
        <f>+PACKING[[#This Row],[TOTAL CAJAS]]*3.8</f>
        <v>760</v>
      </c>
      <c r="AI26" s="2" t="s">
        <v>58</v>
      </c>
      <c r="AJ26" s="2" t="s">
        <v>49</v>
      </c>
      <c r="AK26" s="2" t="s">
        <v>49</v>
      </c>
      <c r="AL26" s="2" t="s">
        <v>51</v>
      </c>
      <c r="AM26" s="2" t="s">
        <v>56</v>
      </c>
      <c r="AN26" s="2"/>
    </row>
    <row r="27" spans="1:40" ht="15" customHeight="1" x14ac:dyDescent="0.3">
      <c r="A27" s="2" t="s">
        <v>41</v>
      </c>
      <c r="B27" s="2" t="s">
        <v>42</v>
      </c>
      <c r="C27" s="2">
        <v>4102</v>
      </c>
      <c r="D27" s="2" t="s">
        <v>43</v>
      </c>
      <c r="E27" s="2" t="s">
        <v>62</v>
      </c>
      <c r="F27" s="1" t="s">
        <v>81</v>
      </c>
      <c r="G27" s="1"/>
      <c r="H27" s="2"/>
      <c r="I27" s="2" t="s">
        <v>44</v>
      </c>
      <c r="J27" s="2" t="s">
        <v>84</v>
      </c>
      <c r="K27" s="2">
        <v>5701</v>
      </c>
      <c r="L27" s="2" t="s">
        <v>45</v>
      </c>
      <c r="M27" s="4">
        <v>46100</v>
      </c>
      <c r="N27" s="4">
        <v>46101</v>
      </c>
      <c r="O27" s="11" t="s">
        <v>85</v>
      </c>
      <c r="P27" s="2" t="s">
        <v>84</v>
      </c>
      <c r="Q27" s="2" t="s">
        <v>46</v>
      </c>
      <c r="R27" s="2" t="s">
        <v>49</v>
      </c>
      <c r="S27" s="2" t="s">
        <v>47</v>
      </c>
      <c r="T27" s="2" t="s">
        <v>48</v>
      </c>
      <c r="U27" s="2" t="s">
        <v>49</v>
      </c>
      <c r="V27" s="2" t="s">
        <v>50</v>
      </c>
      <c r="W27" s="2">
        <v>12</v>
      </c>
      <c r="Y27" s="2" t="s">
        <v>47</v>
      </c>
      <c r="Z27" s="2" t="s">
        <v>52</v>
      </c>
      <c r="AB27" s="2" t="s">
        <v>53</v>
      </c>
      <c r="AD27" s="2" t="s">
        <v>54</v>
      </c>
      <c r="AE27" s="2" t="s">
        <v>55</v>
      </c>
      <c r="AF27" s="2">
        <v>3.8</v>
      </c>
      <c r="AG27" s="2">
        <v>200</v>
      </c>
      <c r="AH27" s="2">
        <f>+PACKING[[#This Row],[TOTAL CAJAS]]*3.8</f>
        <v>760</v>
      </c>
      <c r="AI27" s="2" t="s">
        <v>58</v>
      </c>
      <c r="AJ27" s="2" t="s">
        <v>49</v>
      </c>
      <c r="AK27" s="2" t="s">
        <v>49</v>
      </c>
      <c r="AL27" s="2" t="s">
        <v>51</v>
      </c>
      <c r="AM27" s="2" t="s">
        <v>56</v>
      </c>
      <c r="AN27" s="2"/>
    </row>
    <row r="28" spans="1:40" ht="15" customHeight="1" x14ac:dyDescent="0.3">
      <c r="A28" s="2" t="s">
        <v>41</v>
      </c>
      <c r="B28" s="2" t="s">
        <v>42</v>
      </c>
      <c r="C28" s="2">
        <v>4102</v>
      </c>
      <c r="D28" s="2" t="s">
        <v>43</v>
      </c>
      <c r="E28" s="2" t="s">
        <v>62</v>
      </c>
      <c r="F28" s="1" t="s">
        <v>82</v>
      </c>
      <c r="G28" s="1"/>
      <c r="H28" s="2"/>
      <c r="I28" s="2" t="s">
        <v>44</v>
      </c>
      <c r="J28" s="2" t="s">
        <v>84</v>
      </c>
      <c r="K28" s="2">
        <v>5701</v>
      </c>
      <c r="L28" s="2" t="s">
        <v>45</v>
      </c>
      <c r="M28" s="4">
        <v>46100</v>
      </c>
      <c r="N28" s="4">
        <v>46101</v>
      </c>
      <c r="O28" s="11" t="s">
        <v>85</v>
      </c>
      <c r="P28" s="2" t="s">
        <v>84</v>
      </c>
      <c r="Q28" s="2" t="s">
        <v>46</v>
      </c>
      <c r="R28" s="2" t="s">
        <v>49</v>
      </c>
      <c r="S28" s="2" t="s">
        <v>47</v>
      </c>
      <c r="T28" s="2" t="s">
        <v>48</v>
      </c>
      <c r="U28" s="2" t="s">
        <v>49</v>
      </c>
      <c r="V28" s="2" t="s">
        <v>50</v>
      </c>
      <c r="W28" s="2">
        <v>12</v>
      </c>
      <c r="Y28" s="2" t="s">
        <v>47</v>
      </c>
      <c r="Z28" s="2" t="s">
        <v>52</v>
      </c>
      <c r="AB28" s="2" t="s">
        <v>53</v>
      </c>
      <c r="AD28" s="2" t="s">
        <v>54</v>
      </c>
      <c r="AE28" s="2" t="s">
        <v>55</v>
      </c>
      <c r="AF28" s="2">
        <v>3.8</v>
      </c>
      <c r="AG28" s="2">
        <v>200</v>
      </c>
      <c r="AH28" s="2">
        <f>+PACKING[[#This Row],[TOTAL CAJAS]]*3.8</f>
        <v>760</v>
      </c>
      <c r="AI28" s="2" t="s">
        <v>58</v>
      </c>
      <c r="AJ28" s="2" t="s">
        <v>49</v>
      </c>
      <c r="AK28" s="2" t="s">
        <v>49</v>
      </c>
      <c r="AL28" s="2" t="s">
        <v>51</v>
      </c>
      <c r="AM28" s="2" t="s">
        <v>56</v>
      </c>
      <c r="AN28" s="2"/>
    </row>
    <row r="29" spans="1:40" ht="15" customHeight="1" x14ac:dyDescent="0.3">
      <c r="A29" s="13"/>
      <c r="B29" s="13"/>
      <c r="C29" s="14"/>
      <c r="D29" s="14"/>
      <c r="E29" s="13"/>
      <c r="F29" s="15"/>
      <c r="G29" s="16"/>
      <c r="H29" s="17"/>
      <c r="I29" s="17"/>
      <c r="J29" s="14"/>
      <c r="K29" s="14"/>
      <c r="L29" s="13"/>
      <c r="M29" s="18"/>
      <c r="N29" s="18"/>
      <c r="O29" s="19"/>
      <c r="P29" s="13"/>
      <c r="Q29" s="13"/>
      <c r="R29" s="14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>
        <f>SUBTOTAL(109,PACKING[TOTAL CAJAS])</f>
        <v>4000</v>
      </c>
      <c r="AH29" s="13"/>
      <c r="AI29" s="13"/>
      <c r="AJ29" s="13"/>
      <c r="AK29" s="13"/>
      <c r="AL29" s="13"/>
      <c r="AM29" s="13"/>
      <c r="AN29" s="13"/>
    </row>
  </sheetData>
  <mergeCells count="1">
    <mergeCell ref="A2:O4"/>
  </mergeCells>
  <phoneticPr fontId="3" type="noConversion"/>
  <pageMargins left="0.7" right="0.7" top="0.75" bottom="0.75" header="0.3" footer="0.3"/>
  <pageSetup paperSize="9" scale="22" orientation="landscape" horizontalDpi="300" verticalDpi="3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Chero</dc:creator>
  <cp:keywords/>
  <dc:description/>
  <cp:lastModifiedBy>Daniel Quiroz</cp:lastModifiedBy>
  <cp:revision/>
  <dcterms:created xsi:type="dcterms:W3CDTF">2026-02-05T15:56:15Z</dcterms:created>
  <dcterms:modified xsi:type="dcterms:W3CDTF">2026-03-22T18:21:16Z</dcterms:modified>
  <cp:category/>
  <cp:contentStatus/>
</cp:coreProperties>
</file>