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quir\Downloads\"/>
    </mc:Choice>
  </mc:AlternateContent>
  <xr:revisionPtr revIDLastSave="0" documentId="13_ncr:1_{0938F632-5A0B-426A-87DA-F41279FBC938}" xr6:coauthVersionLast="47" xr6:coauthVersionMax="47" xr10:uidLastSave="{00000000-0000-0000-0000-000000000000}"/>
  <bookViews>
    <workbookView xWindow="-108" yWindow="-108" windowWidth="23256" windowHeight="12456" xr2:uid="{82BB3038-8555-4E2C-806B-3C4CD318D581}"/>
  </bookViews>
  <sheets>
    <sheet name="BG136" sheetId="52" r:id="rId1"/>
  </sheets>
  <externalReferences>
    <externalReference r:id="rId2"/>
  </externalReferences>
  <definedNames>
    <definedName name="_xlnm.Print_Area" localSheetId="0">'BG136'!$A$2:$R$55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" i="52" l="1"/>
  <c r="B44" i="52"/>
  <c r="I21" i="52" a="1"/>
  <c r="I21" i="52" s="1"/>
  <c r="M21" i="52" s="1"/>
  <c r="U20" i="52"/>
  <c r="K21" i="52" s="1"/>
  <c r="F14" i="52"/>
  <c r="L7" i="52"/>
  <c r="C7" i="52"/>
  <c r="O8" i="5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Fvilcas</author>
  </authors>
  <commentList>
    <comment ref="K21" authorId="0" shapeId="0" xr:uid="{04C93C5F-60CA-4A45-9431-4C094D8362F3}">
      <text>
        <r>
          <rPr>
            <b/>
            <sz val="8"/>
            <color indexed="81"/>
            <rFont val="Tahoma"/>
            <family val="2"/>
          </rPr>
          <t xml:space="preserve">Fvilcas:
</t>
        </r>
        <r>
          <rPr>
            <sz val="8"/>
            <color indexed="81"/>
            <rFont val="Tahoma"/>
            <family val="2"/>
          </rPr>
          <t>sumar 4 puntos.
1- Peso Tara del tracto. 
2- Peso Tara de la carreta.
3- Peso bruto del producto.
4- Tara del contenedor (E.I.R.).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<sst xmlns="http://schemas.openxmlformats.org/spreadsheetml/2006/main" count="96" uniqueCount="91">
  <si>
    <t>CONSTANCIA DE VERIFICACION DE PESOS Y MEDIDAS</t>
  </si>
  <si>
    <t>ALMACENES, TERMINALES DE ALMACENAMIENTO, TERMINALES PORTUARIOS O AEROPORTUARIOS, GENERADORES,
 DADORES O REMITENTES DE LA MERCANCIA
DECRETO SUPREMO N° 058-2003-MTC REGLAMENTO NACIONAL DE VEHICULOS Y SUS NORMAS MODIFICATORIAS</t>
  </si>
  <si>
    <t>Fecha :</t>
  </si>
  <si>
    <t>Fecha de Llegada:</t>
  </si>
  <si>
    <t>EMISOR</t>
  </si>
  <si>
    <t xml:space="preserve">DANY PEÑA </t>
  </si>
  <si>
    <t>I) DATOS DEL GENERADOR DE CARGA</t>
  </si>
  <si>
    <t>CHOFER</t>
  </si>
  <si>
    <t>NOMBRE DE
LA EMPRESA</t>
  </si>
  <si>
    <t>Complejo Agroindustrial Beta S.A</t>
  </si>
  <si>
    <t>N° RUC</t>
  </si>
  <si>
    <t>TELEF.</t>
  </si>
  <si>
    <t>056-581150</t>
  </si>
  <si>
    <t>N° GUIAS</t>
  </si>
  <si>
    <t>CONF. VEH</t>
  </si>
  <si>
    <t>PESO B. MAX</t>
  </si>
  <si>
    <t>DIRECCION</t>
  </si>
  <si>
    <t>T3/S2</t>
  </si>
  <si>
    <t>DISTRITO</t>
  </si>
  <si>
    <t>PROVINCIA</t>
  </si>
  <si>
    <t>DEPARTAMENTO</t>
  </si>
  <si>
    <t>T3/Se2</t>
  </si>
  <si>
    <t>T3/S3</t>
  </si>
  <si>
    <t>Según Guia de Remisión que se Adjunta:</t>
  </si>
  <si>
    <t>PESO BRUTO TOTAL TRANSPORTADO (KG)</t>
  </si>
  <si>
    <t xml:space="preserve"> </t>
  </si>
  <si>
    <t>BALANZA</t>
  </si>
  <si>
    <t>SOFTWARE</t>
  </si>
  <si>
    <t>CUBICACION</t>
  </si>
  <si>
    <t>OTROS</t>
  </si>
  <si>
    <t>X</t>
  </si>
  <si>
    <t>1- Peso Tara del tracto</t>
  </si>
  <si>
    <t>N° CAJAS</t>
  </si>
  <si>
    <t>PESO NETO EXP.</t>
  </si>
  <si>
    <t>PESO BRUTO APROX.</t>
  </si>
  <si>
    <t>2- Peso Tara de la carreta</t>
  </si>
  <si>
    <t>IV) DATOS DEL VEHICULO</t>
  </si>
  <si>
    <t>3- Peso bruto del producto</t>
  </si>
  <si>
    <t>PLACAS
(camion, tracto, remolque, semiremolque, carretas)</t>
  </si>
  <si>
    <t>DIMENSION TOTAL DEL 
VEHICULO
(incluida la mercancia)</t>
  </si>
  <si>
    <t>CONFIGURACION
VEHICULAR</t>
  </si>
  <si>
    <t>PESO BRUTO VEHICULAR
MAX. PERMITIDO (KG.)
(1)</t>
  </si>
  <si>
    <t>PESO BRUTO TOTAL
TRANSPORTADO
(KG)</t>
  </si>
  <si>
    <t>PBMax. Para no control de pesos por ejes (DS 006-2008-MTC) (Kg)
(2)</t>
  </si>
  <si>
    <t>PBMax. Para no control de pesos por ejes (DS 006-2008-MTC) (Kg) con Bonificaciones x Susp. Neu. y Neumac Extraanch (3)</t>
  </si>
  <si>
    <t>4- Tara del contenedor (E.I.R.).</t>
  </si>
  <si>
    <t>LARGO
(mt)</t>
  </si>
  <si>
    <t>ANCHO
(mt)</t>
  </si>
  <si>
    <t>ALTO
(mt)</t>
  </si>
  <si>
    <t>-</t>
  </si>
  <si>
    <t>(1) SE OBTIENE DEL ANEXO IV DEL RNV. DS 058-2003</t>
  </si>
  <si>
    <t>(2) EL GENERADOR DEBERA CONTROLAR QUE EL PESO BRUTO TRANSPORTADO NO SEA MAYOR QUE EL 95% DE LAS SUMATORIA DE LOS PESOS POR EJES O CONJUNTOS DE EJES INDICADOS EN EL ANEXO IV DEL RNV</t>
  </si>
  <si>
    <t>(3) PB MAX PARA NO CONTROL PxEJES A VEHICULOS CON BONIFICACIONES PERMITIDAS PARA SUSP. NEUMATICA Y NEUMAT EXTRA ANCHOS</t>
  </si>
  <si>
    <t xml:space="preserve">II) CONTROL DE PESOS POR EJE O CONJUNTO DE EJES:    </t>
  </si>
  <si>
    <t>Para aquellos vehiculos que exceden el 95% de la suma de los pesos por ejes</t>
  </si>
  <si>
    <t>DISTRIBUCION DE PESOS POR CONJUNTO DE EJES EN KG.</t>
  </si>
  <si>
    <t>PESOS</t>
  </si>
  <si>
    <t>1er Cjto</t>
  </si>
  <si>
    <t>2do Cjto</t>
  </si>
  <si>
    <t>3er Cjto</t>
  </si>
  <si>
    <t>4to Cjto</t>
  </si>
  <si>
    <t>5to Cjto</t>
  </si>
  <si>
    <t>6to Cjto</t>
  </si>
  <si>
    <t>DECRETO SUPREMO N° 058-2003-MTC, modificado por D.S. N° 006-2008-MTC, ANEXO IV: PESOS Y MEDIDAS</t>
  </si>
  <si>
    <t>Articulo 37°.- Pesos máximos permitidos: (…) están exonerados del control de peso por eje o conjunto de ejes, los vehiculos o combinaciones vehiculares que transiten con un</t>
  </si>
  <si>
    <t>peso bruto vehicular que no exceda del 95% de la sumatoria de pesos por eje o conj</t>
  </si>
  <si>
    <t>OBSERVACIONES: ………………………………………………………………………………………………………………………………………………………………………………………………………………………………….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</si>
  <si>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</t>
  </si>
  <si>
    <t>………………………………………………………………….</t>
  </si>
  <si>
    <t>…………………………………………………………………………..</t>
  </si>
  <si>
    <t>COMERCIAL</t>
  </si>
  <si>
    <t>CONDUCTOR</t>
  </si>
  <si>
    <t>NOTA:</t>
  </si>
  <si>
    <t>1.- LO CONSIGNADO EN EL PRESENTE FORMATO TIENE CARÁCTER DE DECLARACION JURADA, POR LO QUE ESTARA SUJETO A LO ESTABLECIDO EN EL ART. 32 NUMERAL 32.3 DE LA LEY</t>
  </si>
  <si>
    <t xml:space="preserve">      N° 27444; SIN PERJUICIO DE LA SANCION ADMINISTRATIVA CORRESPONDIENTE. TENIENDO QUE CUMPLIR QUIEN GENERA CARGA EL LLENADO DE LA PRESENTE CONSTANCIA</t>
  </si>
  <si>
    <t xml:space="preserve">2.- Solo para terminales Portuarios, Almacenes Aduaneros y de carga de Hibrocarburos. LA GUIA DE SALIDA, CONSTANCIA DE PESO O TICKET DE PESO DE SALIDA. reemplazará la presente </t>
  </si>
  <si>
    <t xml:space="preserve">      constancia, la cual deberá contener lo indicado en el punto I.</t>
  </si>
  <si>
    <t>3.- Del punto IV- "Dimensión total del vehiculo y la carga!, será llenado cuando excedan las dimensiones permitidas.</t>
  </si>
  <si>
    <t xml:space="preserve">4.- Para el transporte de contenedores vacios, la presentacion de la EIR (Equipment Interchance Receptión) reemplaza al presente formato, Asimismo, los contenedores no estan sujetos </t>
  </si>
  <si>
    <t xml:space="preserve">     al control de pesos por ejes.</t>
  </si>
  <si>
    <t>5.- Para el control en la balanzas de las Estaciones de Pesaje: "Peso Bruto Total Transportado", se consideran las tolerancias del 3% vigente en el pesaje dinámico.</t>
  </si>
  <si>
    <t xml:space="preserve">6.- De no consignar los datos en el punto V. cuando corresponda, el generador de la carga declara que los pesos por eje están dentro de lo permitido en el RNV  </t>
  </si>
  <si>
    <t xml:space="preserve">   N° S/N Fnd. Sta Margarita Plt Packing (Carretera Panamericana Sur)</t>
  </si>
  <si>
    <t>Santiago</t>
  </si>
  <si>
    <t>Ica</t>
  </si>
  <si>
    <t xml:space="preserve">II) TIPO DE MERCANCIA TRANSPORTADA:  GRANADA FRESCA </t>
  </si>
  <si>
    <t>CBR-888</t>
  </si>
  <si>
    <t>ASG-992</t>
  </si>
  <si>
    <t>4560,00</t>
  </si>
  <si>
    <t>PROCESO PASCACIO S.</t>
  </si>
  <si>
    <t>T039-0008339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</si>
</sst>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6" formatCode="_ * #,##0.00_ ;_ * \-#,##0.00_ ;_ * &quot;-&quot;??_ ;_ @_ "/>
    <numFmt numFmtId="167" formatCode="0.0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72 Condensed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Calibri"/>
      <family val="2"/>
    </font>
    <font>
      <sz val="13"/>
      <color theme="1"/>
      <name val="Aptos Narrow"/>
      <family val="2"/>
      <scheme val="minor"/>
    </font>
    <font>
      <sz val="7.5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119">
    <xf numFmtId="0" fontId="0" fillId="0" borderId="0" xfId="0"/>
    <xf numFmtId="0" fontId="0" fillId="2" borderId="0" xfId="0" applyFill="1"/>
    <xf numFmtId="0" fontId="6" fillId="2" borderId="0" xfId="0" applyFont="1" applyFill="1"/>
    <xf numFmtId="0" fontId="8" fillId="2" borderId="0" xfId="0" applyFont="1" applyFill="1" applyAlignment="1">
      <alignment wrapText="1"/>
    </xf>
    <xf numFmtId="14" fontId="0" fillId="2" borderId="0" xfId="0" applyNumberFormat="1" applyFill="1"/>
    <xf numFmtId="0" fontId="4" fillId="2" borderId="0" xfId="0" applyFont="1" applyFill="1" applyAlignment="1">
      <alignment vertical="center"/>
    </xf>
    <xf numFmtId="14" fontId="4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4" fillId="3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14" fontId="0" fillId="0" borderId="0" xfId="0" applyNumberFormat="1"/>
    <xf numFmtId="0" fontId="9" fillId="2" borderId="0" xfId="0" applyFont="1" applyFill="1"/>
    <xf numFmtId="0" fontId="4" fillId="3" borderId="2" xfId="0" applyFont="1" applyFill="1" applyBorder="1" applyAlignment="1">
      <alignment horizontal="center"/>
    </xf>
    <xf numFmtId="0" fontId="10" fillId="2" borderId="0" xfId="0" applyFont="1" applyFill="1"/>
    <xf numFmtId="0" fontId="3" fillId="2" borderId="0" xfId="0" applyFont="1" applyFill="1"/>
    <xf numFmtId="0" fontId="0" fillId="2" borderId="0" xfId="0" applyFill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2" fillId="6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9" fillId="0" borderId="2" xfId="0" applyFont="1" applyBorder="1" applyAlignment="1">
      <alignment horizontal="center"/>
    </xf>
    <xf numFmtId="3" fontId="8" fillId="2" borderId="2" xfId="0" applyNumberFormat="1" applyFont="1" applyFill="1" applyBorder="1" applyAlignment="1">
      <alignment horizontal="center"/>
    </xf>
    <xf numFmtId="0" fontId="9" fillId="2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4" fillId="2" borderId="0" xfId="0" applyFont="1" applyFill="1"/>
    <xf numFmtId="0" fontId="9" fillId="2" borderId="1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5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vertical="center"/>
    </xf>
    <xf numFmtId="164" fontId="0" fillId="0" borderId="2" xfId="0" applyNumberFormat="1" applyBorder="1"/>
    <xf numFmtId="0" fontId="12" fillId="7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3" fontId="13" fillId="8" borderId="2" xfId="0" applyNumberFormat="1" applyFont="1" applyFill="1" applyBorder="1" applyAlignment="1">
      <alignment horizontal="center"/>
    </xf>
    <xf numFmtId="0" fontId="16" fillId="3" borderId="2" xfId="0" applyFont="1" applyFill="1" applyBorder="1" applyAlignment="1">
      <alignment vertical="center" wrapText="1"/>
    </xf>
    <xf numFmtId="0" fontId="18" fillId="4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/>
    <xf numFmtId="0" fontId="22" fillId="2" borderId="0" xfId="0" applyFont="1" applyFill="1"/>
    <xf numFmtId="0" fontId="14" fillId="0" borderId="0" xfId="0" applyFont="1"/>
    <xf numFmtId="0" fontId="23" fillId="2" borderId="0" xfId="0" applyFont="1" applyFill="1"/>
    <xf numFmtId="0" fontId="9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2" fontId="20" fillId="9" borderId="6" xfId="0" applyNumberFormat="1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167" fontId="20" fillId="9" borderId="2" xfId="0" applyNumberFormat="1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vertical="center"/>
    </xf>
    <xf numFmtId="164" fontId="0" fillId="0" borderId="6" xfId="0" applyNumberFormat="1" applyBorder="1" applyAlignment="1">
      <alignment horizontal="right"/>
    </xf>
    <xf numFmtId="4" fontId="0" fillId="2" borderId="2" xfId="0" applyNumberFormat="1" applyFill="1" applyBorder="1"/>
    <xf numFmtId="4" fontId="0" fillId="0" borderId="8" xfId="0" applyNumberFormat="1" applyBorder="1" applyAlignment="1">
      <alignment horizontal="right" vertical="center"/>
    </xf>
    <xf numFmtId="0" fontId="27" fillId="2" borderId="1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5" borderId="3" xfId="0" quotePrefix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wrapText="1"/>
    </xf>
    <xf numFmtId="14" fontId="4" fillId="2" borderId="0" xfId="0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1" fillId="4" borderId="3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9" borderId="11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3" fontId="21" fillId="2" borderId="10" xfId="0" applyNumberFormat="1" applyFont="1" applyFill="1" applyBorder="1" applyAlignment="1">
      <alignment horizontal="center" vertical="center"/>
    </xf>
    <xf numFmtId="3" fontId="21" fillId="2" borderId="11" xfId="0" applyNumberFormat="1" applyFont="1" applyFill="1" applyBorder="1" applyAlignment="1">
      <alignment horizontal="center" vertical="center"/>
    </xf>
    <xf numFmtId="3" fontId="21" fillId="2" borderId="12" xfId="0" applyNumberFormat="1" applyFont="1" applyFill="1" applyBorder="1" applyAlignment="1">
      <alignment horizontal="center" vertical="center"/>
    </xf>
    <xf numFmtId="3" fontId="21" fillId="2" borderId="13" xfId="0" applyNumberFormat="1" applyFont="1" applyFill="1" applyBorder="1" applyAlignment="1">
      <alignment horizontal="center" vertical="center"/>
    </xf>
    <xf numFmtId="3" fontId="21" fillId="5" borderId="10" xfId="0" applyNumberFormat="1" applyFont="1" applyFill="1" applyBorder="1" applyAlignment="1">
      <alignment horizontal="center" vertical="center"/>
    </xf>
    <xf numFmtId="3" fontId="21" fillId="5" borderId="11" xfId="0" applyNumberFormat="1" applyFont="1" applyFill="1" applyBorder="1" applyAlignment="1">
      <alignment horizontal="center" vertical="center"/>
    </xf>
    <xf numFmtId="3" fontId="21" fillId="5" borderId="12" xfId="0" applyNumberFormat="1" applyFont="1" applyFill="1" applyBorder="1" applyAlignment="1">
      <alignment horizontal="center" vertical="center"/>
    </xf>
    <xf numFmtId="3" fontId="21" fillId="5" borderId="13" xfId="0" applyNumberFormat="1" applyFont="1" applyFill="1" applyBorder="1" applyAlignment="1">
      <alignment horizontal="center" vertical="center"/>
    </xf>
    <xf numFmtId="3" fontId="0" fillId="2" borderId="10" xfId="0" applyNumberFormat="1" applyFill="1" applyBorder="1" applyAlignment="1">
      <alignment horizontal="center" vertical="center"/>
    </xf>
    <xf numFmtId="3" fontId="0" fillId="2" borderId="11" xfId="0" applyNumberFormat="1" applyFill="1" applyBorder="1" applyAlignment="1">
      <alignment horizontal="center" vertical="center"/>
    </xf>
    <xf numFmtId="3" fontId="0" fillId="2" borderId="12" xfId="0" applyNumberFormat="1" applyFill="1" applyBorder="1" applyAlignment="1">
      <alignment horizontal="center" vertical="center"/>
    </xf>
    <xf numFmtId="3" fontId="0" fillId="2" borderId="13" xfId="0" applyNumberForma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166" fontId="0" fillId="2" borderId="2" xfId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166" fontId="0" fillId="4" borderId="3" xfId="0" applyNumberFormat="1" applyFill="1" applyBorder="1" applyAlignment="1">
      <alignment horizontal="center" vertical="center"/>
    </xf>
  </cellXfs>
  <cellStyles count="2">
    <cellStyle name="Millares 2" xfId="1" xr:uid="{155CB803-810A-4B52-A5A2-3DFFB1717AFE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webextension" Target="../webextensions/webextension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142875</xdr:rowOff>
    </xdr:from>
    <xdr:to>
      <xdr:col>3</xdr:col>
      <xdr:colOff>173355</xdr:colOff>
      <xdr:row>4</xdr:row>
      <xdr:rowOff>93345</xdr:rowOff>
    </xdr:to>
    <xdr:pic>
      <xdr:nvPicPr>
        <xdr:cNvPr id="2" name="3 Imagen" descr="cristian-carpio">
          <a:extLst>
            <a:ext uri="{FF2B5EF4-FFF2-40B4-BE49-F238E27FC236}">
              <a16:creationId xmlns:a16="http://schemas.microsoft.com/office/drawing/2014/main" id="{4FC5E258-D390-44DE-9000-C907F0541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920" r="66107" b="21596"/>
        <a:stretch>
          <a:fillRect/>
        </a:stretch>
      </xdr:blipFill>
      <xdr:spPr bwMode="auto">
        <a:xfrm>
          <a:off x="316230" y="325755"/>
          <a:ext cx="9620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38100</xdr:colOff>
      <xdr:row>0</xdr:row>
      <xdr:rowOff>83820</xdr:rowOff>
    </xdr:from>
    <xdr:to>
      <xdr:col>21</xdr:col>
      <xdr:colOff>137160</xdr:colOff>
      <xdr:row>4</xdr:row>
      <xdr:rowOff>487680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3" name="Complemento 2">
              <a:extLst>
                <a:ext uri="{FF2B5EF4-FFF2-40B4-BE49-F238E27FC236}">
                  <a16:creationId xmlns:a16="http://schemas.microsoft.com/office/drawing/2014/main" id="{614B0929-E925-4542-8A22-59C87677BDCD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2"/>
            </a:graphicData>
          </a:graphic>
        </xdr:graphicFrame>
      </mc:Choice>
      <mc:Fallback>
        <xdr:pic>
          <xdr:nvPicPr>
            <xdr:cNvPr id="3" name="Complemento 2">
              <a:extLst>
                <a:ext uri="{FF2B5EF4-FFF2-40B4-BE49-F238E27FC236}">
                  <a16:creationId xmlns:a16="http://schemas.microsoft.com/office/drawing/2014/main" id="{614B0929-E925-4542-8A22-59C87677BDC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0</xdr:colOff>
          <xdr:row>2</xdr:row>
          <xdr:rowOff>30480</xdr:rowOff>
        </xdr:from>
        <xdr:to>
          <xdr:col>19</xdr:col>
          <xdr:colOff>1333500</xdr:colOff>
          <xdr:row>4</xdr:row>
          <xdr:rowOff>45720</xdr:rowOff>
        </xdr:to>
        <xdr:sp macro="" textlink="">
          <xdr:nvSpPr>
            <xdr:cNvPr id="335873" name="Button 1" hidden="1">
              <a:extLst>
                <a:ext uri="{63B3BB69-23CF-44E3-9099-C40C66FF867C}">
                  <a14:compatExt spid="_x0000_s335873"/>
                </a:ext>
                <a:ext uri="{FF2B5EF4-FFF2-40B4-BE49-F238E27FC236}">
                  <a16:creationId xmlns:a16="http://schemas.microsoft.com/office/drawing/2014/main" id="{00000000-0008-0000-0000-0000012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s-PE" sz="1100" b="1" i="0" u="none" strike="noStrike" baseline="0">
                  <a:solidFill>
                    <a:srgbClr val="000000"/>
                  </a:solidFill>
                  <a:latin typeface="72 Condensed"/>
                </a:rPr>
                <a:t>GUARDAR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etacompe-my.sharepoint.com/personal/comercial_olmos_beta_com_pe/Documents/EMBARQUES%20ICA%20GRANADA-%202026/PESOS%20Y%20MEDIDAS%20-BG0001.xlsm" TargetMode="External"/><Relationship Id="rId1" Type="http://schemas.openxmlformats.org/officeDocument/2006/relationships/externalLinkPath" Target="https://betacompe-my.sharepoint.com/personal/comercial_olmos_beta_com_pe/Documents/EMBARQUES%20ICA%20GRANADA-%202026/PESOS%20Y%20MEDIDAS%20-BG00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M0865"/>
      <sheetName val="BMT835-AXD974"/>
      <sheetName val="BAM1888"/>
      <sheetName val="BAM1908"/>
      <sheetName val="BAM1879"/>
      <sheetName val="BAM1898"/>
      <sheetName val="BAM1896"/>
      <sheetName val="BAM1897"/>
      <sheetName val="BAM1887"/>
      <sheetName val="BAM1902"/>
      <sheetName val="BAM1889"/>
      <sheetName val="BAM1901"/>
      <sheetName val="BAM1886"/>
      <sheetName val="BAM1883"/>
      <sheetName val="BAM1884"/>
      <sheetName val="BAM1885"/>
      <sheetName val="BAM1869"/>
      <sheetName val="BAM1882"/>
      <sheetName val="BAM1867"/>
      <sheetName val="BAM1880"/>
      <sheetName val="BAM1881"/>
      <sheetName val="BAM1864"/>
      <sheetName val="BAM1861"/>
      <sheetName val="BAM1868"/>
      <sheetName val="BAM1863"/>
      <sheetName val="BAM1862"/>
      <sheetName val="BAM1860"/>
      <sheetName val="BAM1866"/>
      <sheetName val="BAM1848"/>
      <sheetName val="BAM1859"/>
      <sheetName val="BAM1856"/>
      <sheetName val="BAM1854"/>
      <sheetName val="BAM1853"/>
      <sheetName val="BAM1865"/>
      <sheetName val="BAM1858"/>
      <sheetName val="BAM1850"/>
      <sheetName val="BAM1855"/>
      <sheetName val="BAM1857"/>
      <sheetName val="BAM1851"/>
      <sheetName val="BAM1852"/>
      <sheetName val="BAM1836"/>
      <sheetName val="BAM1844"/>
      <sheetName val="BAM1837"/>
      <sheetName val="BAM1834"/>
      <sheetName val="BAM1845"/>
      <sheetName val="BAM1849"/>
      <sheetName val="BAM1847"/>
      <sheetName val="BAM1808"/>
      <sheetName val="BAM1831"/>
      <sheetName val="BAM1828"/>
      <sheetName val="BAM1833"/>
      <sheetName val="BAM1823"/>
      <sheetName val="BAM1827"/>
      <sheetName val="BAM1829"/>
      <sheetName val="BAM1826"/>
      <sheetName val="BAM1824"/>
      <sheetName val="BAM1835"/>
      <sheetName val="BAM1822"/>
      <sheetName val="BAM1816"/>
      <sheetName val="BAM1815"/>
      <sheetName val="BAM1817"/>
      <sheetName val="BAM1818"/>
      <sheetName val="BAM1814"/>
      <sheetName val="BAM1811"/>
      <sheetName val="BAM1813"/>
      <sheetName val="BAM1810"/>
      <sheetName val="BAM1798"/>
      <sheetName val="BAM1796"/>
      <sheetName val="BAM1797"/>
      <sheetName val="BAM1790"/>
      <sheetName val="BAM1792"/>
      <sheetName val="BAM1795"/>
      <sheetName val="BAM1800"/>
      <sheetName val="BAM1779"/>
      <sheetName val="BAM1791"/>
      <sheetName val="BAM1809"/>
      <sheetName val="BAM1789"/>
      <sheetName val="BAM1788"/>
      <sheetName val="BAM1786"/>
      <sheetName val="BAM1780"/>
      <sheetName val="BAM1785"/>
      <sheetName val="BAM1778"/>
      <sheetName val="BAM1774"/>
      <sheetName val="BAM1775"/>
      <sheetName val="BAM1770"/>
      <sheetName val="BAM1771"/>
      <sheetName val="BAM1767"/>
      <sheetName val="BAM1766"/>
      <sheetName val="BAM1728"/>
      <sheetName val="BAM1764"/>
      <sheetName val="BAM1761"/>
      <sheetName val="BAM1760"/>
      <sheetName val="BAM1729"/>
      <sheetName val="BAM1694"/>
      <sheetName val="BAM1725"/>
      <sheetName val="BAM1683"/>
      <sheetName val="BAM1705"/>
      <sheetName val="BAM1727"/>
      <sheetName val="BAM1669"/>
      <sheetName val="BAM1676"/>
      <sheetName val="BAM1677"/>
      <sheetName val="BAM1419"/>
      <sheetName val="BAM0462"/>
      <sheetName val="BAM0545"/>
      <sheetName val="BAM1417"/>
      <sheetName val="bam0194"/>
      <sheetName val="BAM1389"/>
      <sheetName val="BAM1682"/>
      <sheetName val="BAM1388"/>
      <sheetName val="BAM1708"/>
      <sheetName val="BAM1707"/>
      <sheetName val="BAM1385"/>
      <sheetName val="BAM1384"/>
      <sheetName val="BAM1614"/>
      <sheetName val="BAM-1534 (2)"/>
      <sheetName val="BAM1702"/>
      <sheetName val="BAM1394"/>
      <sheetName val="BAM1601"/>
      <sheetName val="BAM1698"/>
      <sheetName val="BAM1539"/>
      <sheetName val="BAM1424"/>
      <sheetName val="BAM1697"/>
      <sheetName val="BAM1423"/>
      <sheetName val="BAM1421"/>
      <sheetName val="BAM1422"/>
      <sheetName val="BAM1390"/>
      <sheetName val="BAM1507"/>
      <sheetName val="BAM1619"/>
      <sheetName val="BAM1532"/>
      <sheetName val="BAM1514"/>
      <sheetName val="BAM1504"/>
      <sheetName val="BAM1513"/>
      <sheetName val="BAM1533"/>
      <sheetName val="BAM1616"/>
      <sheetName val="BAM1516"/>
      <sheetName val="bam1500"/>
      <sheetName val="BAM1512"/>
      <sheetName val="BAM1499"/>
      <sheetName val="BAM1503"/>
      <sheetName val="BAM1498"/>
      <sheetName val="BAM1461"/>
      <sheetName val="BAM1510"/>
      <sheetName val="BAM1524"/>
      <sheetName val="BAM1497"/>
      <sheetName val="BAM1207"/>
      <sheetName val="BAM1462"/>
      <sheetName val="BAM1368"/>
      <sheetName val="BAM1530"/>
      <sheetName val="BAM1501"/>
      <sheetName val="BAM1380"/>
      <sheetName val="BAM1327"/>
      <sheetName val="BAM1286"/>
      <sheetName val="BAM1393"/>
      <sheetName val="BAM1391"/>
      <sheetName val="BAM1269"/>
      <sheetName val="BAM1526"/>
      <sheetName val="BAM1367"/>
      <sheetName val="BAM1379"/>
      <sheetName val="BAM1377"/>
      <sheetName val="BAM1383"/>
      <sheetName val="BAM1373"/>
      <sheetName val="BAM1372"/>
      <sheetName val="BAM1396"/>
      <sheetName val="BAM1175"/>
      <sheetName val="BAM1398"/>
      <sheetName val="BAM1295"/>
      <sheetName val="BAM1293"/>
      <sheetName val="BAM1183"/>
      <sheetName val="BAM1370-V3N710-D3P990"/>
      <sheetName val="BAM1397"/>
      <sheetName val="BAM1371"/>
      <sheetName val="BAM1176"/>
      <sheetName val="BAM1278"/>
      <sheetName val="BAM1113"/>
      <sheetName val="BAM1292"/>
      <sheetName val="BAM1102"/>
      <sheetName val="BAM1263"/>
      <sheetName val="BAM1241"/>
      <sheetName val="BAM1239"/>
      <sheetName val="BAM1205"/>
      <sheetName val="BAM1233"/>
      <sheetName val="BAM1214"/>
      <sheetName val="BAM1534"/>
      <sheetName val="BAM1234"/>
      <sheetName val="BAM1238"/>
      <sheetName val="BAM1237"/>
      <sheetName val="BAM1250"/>
      <sheetName val="BAM1212"/>
      <sheetName val="BAM1203"/>
      <sheetName val="BAM1232"/>
      <sheetName val="BAM1204"/>
      <sheetName val="BAM1201"/>
      <sheetName val="BAM1202"/>
      <sheetName val="BAM1249"/>
      <sheetName val="BAM1198"/>
      <sheetName val="BAM1190"/>
      <sheetName val="BAM1220-B3S943-TKV993"/>
      <sheetName val="BAM1210"/>
      <sheetName val="BAM1211"/>
      <sheetName val="BAM1247"/>
      <sheetName val="BAM1235"/>
      <sheetName val="BAM1196"/>
      <sheetName val="BAM1230"/>
      <sheetName val="BAM1194"/>
      <sheetName val="BAM1217"/>
      <sheetName val="BAM1192"/>
      <sheetName val="BAM1219"/>
      <sheetName val="BAM1218"/>
      <sheetName val="BAM1366"/>
      <sheetName val="BAM1216"/>
      <sheetName val="BAM0918"/>
      <sheetName val="BAM1059"/>
      <sheetName val="BAM01061"/>
      <sheetName val="BAM1062"/>
      <sheetName val="BAM1067"/>
      <sheetName val="BAM1181"/>
      <sheetName val="BAM1055"/>
      <sheetName val="BAM1066"/>
      <sheetName val="BAM1033"/>
      <sheetName val="BAM1034"/>
      <sheetName val="BAM1105"/>
      <sheetName val="BAM1057"/>
      <sheetName val="BAM1032"/>
      <sheetName val="BAM1044"/>
      <sheetName val="BAM1054"/>
      <sheetName val="BAM1052"/>
      <sheetName val="BAM1098"/>
      <sheetName val="BAM1048"/>
      <sheetName val="BAM1030"/>
      <sheetName val="BAM1031"/>
      <sheetName val="BAM1029"/>
      <sheetName val="BAM1041"/>
      <sheetName val="BAM1049"/>
      <sheetName val="BAM1028"/>
      <sheetName val="BAM1027"/>
      <sheetName val="BAM1039"/>
      <sheetName val="BAM1040"/>
      <sheetName val="BAM0921"/>
      <sheetName val="BAM917"/>
      <sheetName val="BAM1050-T0H829-TJE981"/>
      <sheetName val="BAM1047-AMP893-TLQ987"/>
      <sheetName val="BAM0948-B3S943-TKV993"/>
      <sheetName val="BAM1038-ASO906-TKL993"/>
      <sheetName val="BAM1037-P1Y804-TKR977"/>
      <sheetName val="BAM1063-GBQ3522-OR2062"/>
      <sheetName val="BAM1036-T0V802-T9L995"/>
      <sheetName val="BAM1016-BFY937-AUT994"/>
      <sheetName val="BAM0261-BFY937-AUT994"/>
      <sheetName val="BAM1043-D3Q855-TJW990"/>
      <sheetName val="BAM1042-T0O806-THO975"/>
      <sheetName val="BAM0956"/>
      <sheetName val="BAM1023"/>
      <sheetName val="BAM1035"/>
      <sheetName val="BAM0895"/>
      <sheetName val="BAM0896"/>
      <sheetName val="BAM0906"/>
      <sheetName val="BAM0912"/>
      <sheetName val="BAM0913"/>
      <sheetName val="BAM0920"/>
      <sheetName val="BAM0914"/>
      <sheetName val="BAM0910"/>
      <sheetName val="BAM0883"/>
      <sheetName val="BAM0884"/>
      <sheetName val="BAM0897"/>
      <sheetName val="BAM0907"/>
      <sheetName val="BAM0911"/>
      <sheetName val="BAM905"/>
      <sheetName val="BAM0894"/>
      <sheetName val="BAM0901"/>
      <sheetName val="BAM0872"/>
      <sheetName val="BAM0880"/>
      <sheetName val="BAM0892"/>
      <sheetName val="BAM0891"/>
      <sheetName val="BAM0919"/>
      <sheetName val="BAA-0211"/>
      <sheetName val="BAM0876-T4Q801-TJH970"/>
      <sheetName val="BAM0900-D8X828-TFF993"/>
      <sheetName val="BAM0890-BFY931-AUP-993"/>
      <sheetName val="BAM-0898-A4K811-AST993"/>
      <sheetName val="BAM-0915-D4E886-TEF977"/>
      <sheetName val="BAM0893"/>
      <sheetName val="BAM0899"/>
      <sheetName val="BAM1020"/>
      <sheetName val="BAM1019"/>
      <sheetName val="BAM0887"/>
      <sheetName val="BAM0886"/>
      <sheetName val="BAM0889"/>
      <sheetName val="BAM0874"/>
      <sheetName val="BAM0888"/>
      <sheetName val="BAM0875"/>
      <sheetName val="BAM0766"/>
      <sheetName val="BAM0739"/>
      <sheetName val="BAM0738"/>
      <sheetName val="BAM0735"/>
      <sheetName val="BAM0758"/>
      <sheetName val="BAM0736"/>
      <sheetName val="BAM0748"/>
      <sheetName val="BAM0767"/>
      <sheetName val="BAM0750"/>
      <sheetName val="BAM0753"/>
      <sheetName val="BAM0597"/>
      <sheetName val="bam0728"/>
      <sheetName val="BAM0730"/>
      <sheetName val="BAM0729"/>
      <sheetName val="BAM0749"/>
      <sheetName val="BAM0722"/>
      <sheetName val="BAM0724"/>
      <sheetName val="BAM0727"/>
      <sheetName val="BAM0744"/>
      <sheetName val="BAM0771"/>
      <sheetName val="BAM0610"/>
      <sheetName val="BAM0704"/>
      <sheetName val="BAM0717"/>
      <sheetName val="BAM0608"/>
      <sheetName val="BAM0600"/>
      <sheetName val="BAM0592"/>
      <sheetName val="BAM0618"/>
      <sheetName val="BAM0603"/>
      <sheetName val="BAM0604"/>
      <sheetName val="BAM0716"/>
      <sheetName val="BAM0584"/>
      <sheetName val="BAM0576"/>
      <sheetName val="BAM0575"/>
      <sheetName val="BAM0574"/>
      <sheetName val="BAM0593"/>
      <sheetName val="BAM0590"/>
      <sheetName val="BAM0577"/>
      <sheetName val="BAM0587"/>
      <sheetName val="BAM0481"/>
      <sheetName val="BAM0573"/>
      <sheetName val="BAA-0181"/>
      <sheetName val="BAA-0180"/>
      <sheetName val="BAA-0179 (2)"/>
      <sheetName val="C"/>
      <sheetName val="A"/>
      <sheetName val="BAM0538"/>
      <sheetName val="BAM0472"/>
      <sheetName val="BAM0474"/>
      <sheetName val="BAM0540"/>
      <sheetName val="BAM0484"/>
      <sheetName val="BAM0566"/>
      <sheetName val="BAA-0167"/>
      <sheetName val="BAA-0168"/>
      <sheetName val="BAM0556"/>
      <sheetName val="BAM0466"/>
      <sheetName val="BAM0552"/>
      <sheetName val="BAM0464"/>
      <sheetName val="BAM0421"/>
      <sheetName val="BAM0467"/>
      <sheetName val="BAM0572"/>
      <sheetName val="BAM0460"/>
      <sheetName val="BAM0478"/>
      <sheetName val="BAM0414"/>
      <sheetName val="BAM0422"/>
      <sheetName val="BAM0463"/>
      <sheetName val="BAM0453"/>
      <sheetName val="BAM0476"/>
      <sheetName val="BAM0370"/>
      <sheetName val="BAM0452"/>
      <sheetName val="BAM0427 "/>
      <sheetName val="BAM0367"/>
      <sheetName val="BAM0360"/>
      <sheetName val="BAM0339"/>
      <sheetName val="BAM0358"/>
      <sheetName val="BAM0361"/>
      <sheetName val="BAM0337"/>
      <sheetName val="BAM0336"/>
      <sheetName val="BAM0338"/>
      <sheetName val="BAM0369"/>
      <sheetName val="BAM0368"/>
      <sheetName val="BAM0359"/>
      <sheetName val="BAM0357"/>
      <sheetName val="BAM0351"/>
      <sheetName val="BAM0283"/>
      <sheetName val="BAM0350"/>
      <sheetName val="BAM0347"/>
      <sheetName val="BAM0345"/>
      <sheetName val="BAM0344"/>
      <sheetName val="BAA-0094"/>
      <sheetName val="BAA-0093"/>
      <sheetName val="BAM0282"/>
      <sheetName val="BAM0272"/>
      <sheetName val="BAM0276"/>
      <sheetName val="BAM0275"/>
      <sheetName val="BAM0286"/>
      <sheetName val="BAM0284"/>
      <sheetName val="BAM0285"/>
      <sheetName val="BAM0274"/>
      <sheetName val="BAM0273"/>
      <sheetName val="BAM0245"/>
      <sheetName val="BAM0243"/>
      <sheetName val="BAA-0078"/>
      <sheetName val="BAA-0077"/>
      <sheetName val="BAM0267"/>
      <sheetName val="BAA-0072"/>
      <sheetName val="BAM0215"/>
      <sheetName val="BAM0281"/>
      <sheetName val="BAM0261"/>
      <sheetName val="BAM0199"/>
      <sheetName val="BAM0152"/>
      <sheetName val="BAM-0162"/>
      <sheetName val="BAM0134"/>
      <sheetName val="BAM0090"/>
      <sheetName val="BAM-0098"/>
      <sheetName val="BAM0101"/>
      <sheetName val="BAM0100"/>
      <sheetName val="BAM0133"/>
      <sheetName val="BAM0094"/>
      <sheetName val="BAM0055"/>
      <sheetName val="BAM0059"/>
      <sheetName val="BAA-0040"/>
      <sheetName val="BAM-0138"/>
      <sheetName val="BAM-0140"/>
      <sheetName val="BAM-0163"/>
      <sheetName val="BAM-0141"/>
      <sheetName val="BAM-0139"/>
      <sheetName val="BAM-0142"/>
      <sheetName val="BAM-0145"/>
      <sheetName val="BAM-0155"/>
      <sheetName val="BAM-0182"/>
      <sheetName val="BAM-149"/>
      <sheetName val="BAA-0039"/>
      <sheetName val="BAA-0040-0041"/>
      <sheetName val="BAA-0041-0042-0043"/>
      <sheetName val="BAM-0200"/>
      <sheetName val="BAM-0203"/>
      <sheetName val="BAM0217"/>
      <sheetName val="BAA-0049"/>
      <sheetName val="BAA-0050"/>
      <sheetName val="BAM0103"/>
      <sheetName val="BAM0185"/>
      <sheetName val="BAM-0216"/>
      <sheetName val="BAM0207"/>
      <sheetName val="BAM0197"/>
      <sheetName val="BAM0186"/>
      <sheetName val="BAM0264"/>
      <sheetName val="PESOS Y MEDIDAS -BG0001"/>
    </sheetNames>
    <definedNames>
      <definedName name="GUARDA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webextension1.xml><?xml version="1.0" encoding="utf-8"?>
<we:webextension xmlns:we="http://schemas.microsoft.com/office/webextensions/webextension/2010/11" id="{614B0929-E925-4542-8A22-59C87677BDCD}">
  <we:reference id="wa102957665" version="1.3.0.0" store="es-ES" storeType="OMEX"/>
  <we:alternateReferences>
    <we:reference id="wa102957665" version="1.3.0.0" store="" storeType="OMEX"/>
  </we:alternateReferences>
  <we:properties>
    <we:property name="opt_cal_sys" value="1"/>
    <we:property name="opt_confirm" value="true"/>
    <we:property name="opt_month" value="&quot;2025-07-01&quot;"/>
    <we:property name="opt_size" value="1"/>
    <we:property name="opt_theme" value="2"/>
    <we:property name="opt_wn" value="true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61E2-461E-4B27-BD6D-BFE00664DBB9}">
  <sheetPr>
    <tabColor theme="8" tint="0.79998168889431442"/>
    <pageSetUpPr fitToPage="1"/>
  </sheetPr>
  <dimension ref="A1:Z55"/>
  <sheetViews>
    <sheetView showGridLines="0" tabSelected="1" zoomScale="115" zoomScaleNormal="115" workbookViewId="0">
      <selection activeCell="U7" sqref="U7"/>
    </sheetView>
  </sheetViews>
  <sheetFormatPr baseColWidth="10" defaultColWidth="11.44140625" defaultRowHeight="14.4"/>
  <cols>
    <col min="1" max="1" width="4.33203125" style="1" customWidth="1"/>
    <col min="2" max="2" width="6.44140625" style="1" customWidth="1"/>
    <col min="3" max="3" width="5.33203125" style="1" customWidth="1"/>
    <col min="4" max="4" width="6" style="1" customWidth="1"/>
    <col min="5" max="5" width="5.88671875" style="1" customWidth="1"/>
    <col min="6" max="6" width="7" style="1" customWidth="1"/>
    <col min="7" max="9" width="5.6640625" style="1" customWidth="1"/>
    <col min="10" max="10" width="9.33203125" style="1" customWidth="1"/>
    <col min="11" max="15" width="5.6640625" style="1" customWidth="1"/>
    <col min="16" max="16" width="12" style="1" customWidth="1"/>
    <col min="17" max="17" width="5.6640625" style="1" customWidth="1"/>
    <col min="18" max="18" width="11" style="1" customWidth="1"/>
    <col min="19" max="19" width="3" style="1" customWidth="1"/>
    <col min="20" max="20" width="21.6640625" style="1" customWidth="1"/>
    <col min="21" max="21" width="22.5546875" style="1" customWidth="1"/>
    <col min="22" max="22" width="11.44140625" style="1"/>
    <col min="23" max="23" width="8.6640625" style="1" customWidth="1"/>
    <col min="24" max="24" width="12.33203125" style="1" customWidth="1"/>
    <col min="25" max="25" width="15.33203125" style="1" customWidth="1"/>
    <col min="26" max="16384" width="11.44140625" style="1"/>
  </cols>
  <sheetData>
    <row r="1" spans="1:25">
      <c r="T1"/>
      <c r="U1"/>
    </row>
    <row r="2" spans="1:25" ht="15" customHeight="1">
      <c r="T2"/>
      <c r="U2"/>
    </row>
    <row r="3" spans="1:25">
      <c r="T3"/>
      <c r="U3"/>
    </row>
    <row r="4" spans="1:25" ht="18">
      <c r="B4" s="2"/>
      <c r="C4" s="62" t="s"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T4"/>
      <c r="U4"/>
    </row>
    <row r="5" spans="1:25" ht="42" customHeight="1">
      <c r="A5" s="3"/>
      <c r="B5" s="63" t="s">
        <v>1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S5" s="4"/>
    </row>
    <row r="6" spans="1:25" ht="7.5" customHeight="1">
      <c r="V6"/>
    </row>
    <row r="7" spans="1:25" ht="22.5" customHeight="1">
      <c r="B7" s="5" t="s">
        <v>2</v>
      </c>
      <c r="C7" s="64">
        <f ca="1">TODAY()</f>
        <v>46118</v>
      </c>
      <c r="D7" s="64"/>
      <c r="F7" s="6"/>
      <c r="G7" s="6"/>
      <c r="I7" s="7" t="s">
        <v>3</v>
      </c>
      <c r="J7" s="8"/>
      <c r="K7" s="8"/>
      <c r="L7" s="65">
        <f ca="1">TODAY()</f>
        <v>46118</v>
      </c>
      <c r="M7" s="65"/>
      <c r="N7" s="65"/>
      <c r="O7" s="66"/>
      <c r="P7" s="66"/>
      <c r="T7" s="9" t="s">
        <v>4</v>
      </c>
      <c r="U7" s="10" t="s">
        <v>5</v>
      </c>
      <c r="V7" s="11"/>
    </row>
    <row r="8" spans="1:25" ht="18" customHeight="1">
      <c r="B8" s="12" t="s">
        <v>6</v>
      </c>
      <c r="L8" s="57"/>
      <c r="M8" s="58"/>
      <c r="N8" s="59"/>
      <c r="O8" s="60" t="str">
        <f ca="1">CONCATENATE("4102",MID(TEXT(DAY($C$7),"DD"),1,2),MID(TEXT(MONTH($C$7),"dd"),1,2),MID(YEAR($C$7),3,2))</f>
        <v>4102060426</v>
      </c>
      <c r="P8" s="61"/>
      <c r="T8" s="13" t="s">
        <v>7</v>
      </c>
      <c r="U8" s="49" t="s">
        <v>89</v>
      </c>
      <c r="V8"/>
    </row>
    <row r="9" spans="1:25" ht="6.75" customHeight="1">
      <c r="B9" s="14"/>
      <c r="O9" s="15"/>
      <c r="V9" s="11"/>
    </row>
    <row r="10" spans="1:25" s="16" customFormat="1" ht="19.2" customHeight="1">
      <c r="B10" s="67" t="s">
        <v>8</v>
      </c>
      <c r="C10" s="68"/>
      <c r="D10" s="69" t="s">
        <v>9</v>
      </c>
      <c r="E10" s="70"/>
      <c r="F10" s="70"/>
      <c r="G10" s="70"/>
      <c r="H10" s="70"/>
      <c r="I10" s="71"/>
      <c r="J10" s="17" t="s">
        <v>10</v>
      </c>
      <c r="K10" s="72">
        <v>20297939131</v>
      </c>
      <c r="L10" s="73"/>
      <c r="M10" s="74"/>
      <c r="N10" s="17" t="s">
        <v>11</v>
      </c>
      <c r="O10" s="72" t="s">
        <v>12</v>
      </c>
      <c r="P10" s="74"/>
      <c r="T10" s="75" t="s">
        <v>13</v>
      </c>
      <c r="U10" s="56" t="s">
        <v>90</v>
      </c>
      <c r="V10" s="18"/>
      <c r="W10" s="19" t="s">
        <v>14</v>
      </c>
      <c r="X10" s="20" t="s">
        <v>15</v>
      </c>
    </row>
    <row r="11" spans="1:25" ht="16.2" customHeight="1">
      <c r="B11" s="78" t="s">
        <v>16</v>
      </c>
      <c r="C11" s="79"/>
      <c r="D11" s="69" t="s">
        <v>82</v>
      </c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1"/>
      <c r="T11" s="76"/>
      <c r="U11" s="21"/>
      <c r="V11" s="11"/>
      <c r="W11" s="22" t="s">
        <v>17</v>
      </c>
      <c r="X11" s="23">
        <v>43000</v>
      </c>
    </row>
    <row r="12" spans="1:25">
      <c r="B12" s="78" t="s">
        <v>18</v>
      </c>
      <c r="C12" s="79"/>
      <c r="D12" s="72" t="s">
        <v>83</v>
      </c>
      <c r="E12" s="73"/>
      <c r="F12" s="74"/>
      <c r="G12" s="78" t="s">
        <v>19</v>
      </c>
      <c r="H12" s="79"/>
      <c r="I12" s="72" t="s">
        <v>84</v>
      </c>
      <c r="J12" s="73"/>
      <c r="K12" s="74"/>
      <c r="L12" s="78" t="s">
        <v>20</v>
      </c>
      <c r="M12" s="80"/>
      <c r="N12" s="79"/>
      <c r="O12" s="73" t="s">
        <v>84</v>
      </c>
      <c r="P12" s="74"/>
      <c r="T12" s="77"/>
      <c r="U12" s="21"/>
      <c r="V12"/>
      <c r="W12" s="22" t="s">
        <v>21</v>
      </c>
      <c r="X12" s="23">
        <v>47000</v>
      </c>
    </row>
    <row r="13" spans="1:25">
      <c r="B13" s="24" t="s">
        <v>85</v>
      </c>
      <c r="C13" s="25"/>
      <c r="D13" s="25"/>
      <c r="E13" s="25"/>
      <c r="F13" s="25"/>
      <c r="G13" s="26"/>
      <c r="H13" s="26"/>
      <c r="I13" s="25"/>
      <c r="J13" s="25"/>
      <c r="K13" s="27"/>
      <c r="L13" s="28"/>
      <c r="M13" s="27"/>
      <c r="N13" s="28"/>
      <c r="O13" s="27"/>
      <c r="P13" s="28"/>
      <c r="U13"/>
      <c r="V13"/>
      <c r="W13" s="22" t="s">
        <v>22</v>
      </c>
      <c r="X13" s="23">
        <v>5000</v>
      </c>
    </row>
    <row r="14" spans="1:25" ht="16.95" customHeight="1">
      <c r="B14" s="29" t="s">
        <v>23</v>
      </c>
      <c r="C14" s="29"/>
      <c r="D14" s="29"/>
      <c r="E14" s="29"/>
      <c r="F14" s="29" t="str">
        <f>CONCATENATE($U$10,IF($U$11="",""," /"),$U$11,IF($U$12="",""," / "),$U$12)</f>
        <v>T039-0008339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T14" s="81" t="s">
        <v>24</v>
      </c>
      <c r="U14" s="81"/>
      <c r="V14"/>
    </row>
    <row r="15" spans="1:25" ht="10.199999999999999" customHeight="1">
      <c r="B15" s="30" t="s">
        <v>25</v>
      </c>
      <c r="C15" s="30"/>
      <c r="D15" s="30"/>
      <c r="E15" s="30"/>
      <c r="F15" s="30"/>
      <c r="G15" s="27"/>
      <c r="H15" s="27"/>
      <c r="I15" s="27"/>
      <c r="J15" s="28"/>
      <c r="K15" s="27"/>
      <c r="L15" s="28"/>
      <c r="M15" s="27"/>
      <c r="N15" s="28"/>
      <c r="O15" s="27"/>
      <c r="P15" s="28"/>
      <c r="U15"/>
      <c r="V15"/>
    </row>
    <row r="16" spans="1:25" ht="15.6">
      <c r="B16" s="82" t="s">
        <v>26</v>
      </c>
      <c r="C16" s="82"/>
      <c r="D16" s="31"/>
      <c r="E16" s="32"/>
      <c r="F16" s="82" t="s">
        <v>27</v>
      </c>
      <c r="G16" s="82"/>
      <c r="H16" s="31"/>
      <c r="I16" s="32"/>
      <c r="J16" s="82" t="s">
        <v>28</v>
      </c>
      <c r="K16" s="82"/>
      <c r="L16" s="31"/>
      <c r="M16" s="32"/>
      <c r="N16" s="78" t="s">
        <v>29</v>
      </c>
      <c r="O16" s="79"/>
      <c r="P16" s="33" t="s">
        <v>30</v>
      </c>
      <c r="T16" s="34" t="s">
        <v>31</v>
      </c>
      <c r="U16" s="35">
        <v>8122</v>
      </c>
      <c r="W16" s="36" t="s">
        <v>32</v>
      </c>
      <c r="X16" s="36" t="s">
        <v>33</v>
      </c>
      <c r="Y16" s="36" t="s">
        <v>34</v>
      </c>
    </row>
    <row r="17" spans="2:26">
      <c r="T17" s="34" t="s">
        <v>35</v>
      </c>
      <c r="U17" s="53">
        <v>7400</v>
      </c>
      <c r="W17" s="37">
        <v>2400</v>
      </c>
      <c r="X17" s="37">
        <v>24000</v>
      </c>
      <c r="Y17" s="38">
        <v>26328</v>
      </c>
    </row>
    <row r="18" spans="2:26">
      <c r="B18" s="83" t="s">
        <v>36</v>
      </c>
      <c r="C18" s="83"/>
      <c r="D18" s="83"/>
      <c r="E18" s="83"/>
      <c r="F18" s="83"/>
      <c r="G18" s="83"/>
      <c r="T18" s="52" t="s">
        <v>37</v>
      </c>
      <c r="U18" s="54">
        <v>16800</v>
      </c>
      <c r="W18" s="37">
        <v>5280</v>
      </c>
      <c r="X18" s="37">
        <v>21120</v>
      </c>
      <c r="Y18" s="38">
        <v>22704</v>
      </c>
    </row>
    <row r="19" spans="2:26" ht="26.25" customHeight="1">
      <c r="B19" s="84" t="s">
        <v>38</v>
      </c>
      <c r="C19" s="85"/>
      <c r="D19" s="88" t="s">
        <v>39</v>
      </c>
      <c r="E19" s="89"/>
      <c r="F19" s="90"/>
      <c r="G19" s="84" t="s">
        <v>40</v>
      </c>
      <c r="H19" s="85"/>
      <c r="I19" s="84" t="s">
        <v>41</v>
      </c>
      <c r="J19" s="85"/>
      <c r="K19" s="84" t="s">
        <v>42</v>
      </c>
      <c r="L19" s="85"/>
      <c r="M19" s="84" t="s">
        <v>43</v>
      </c>
      <c r="N19" s="85"/>
      <c r="O19" s="84" t="s">
        <v>44</v>
      </c>
      <c r="P19" s="85"/>
      <c r="T19" s="39" t="s">
        <v>45</v>
      </c>
      <c r="U19" s="55" t="s">
        <v>88</v>
      </c>
      <c r="W19" s="37">
        <v>1920</v>
      </c>
      <c r="X19" s="37">
        <v>21120</v>
      </c>
      <c r="Y19" s="38">
        <v>22272</v>
      </c>
    </row>
    <row r="20" spans="2:26" ht="21" customHeight="1">
      <c r="B20" s="86"/>
      <c r="C20" s="87"/>
      <c r="D20" s="40" t="s">
        <v>46</v>
      </c>
      <c r="E20" s="40" t="s">
        <v>47</v>
      </c>
      <c r="F20" s="40" t="s">
        <v>48</v>
      </c>
      <c r="G20" s="86"/>
      <c r="H20" s="87"/>
      <c r="I20" s="86"/>
      <c r="J20" s="87"/>
      <c r="K20" s="86"/>
      <c r="L20" s="87"/>
      <c r="M20" s="86"/>
      <c r="N20" s="87"/>
      <c r="O20" s="86"/>
      <c r="P20" s="87"/>
      <c r="U20" s="41">
        <f>SUM(U16:U19)</f>
        <v>32322</v>
      </c>
      <c r="W20" s="37"/>
      <c r="X20" s="37"/>
      <c r="Y20" s="38"/>
    </row>
    <row r="21" spans="2:26" ht="18" customHeight="1">
      <c r="B21" s="91" t="s">
        <v>86</v>
      </c>
      <c r="C21" s="92"/>
      <c r="D21" s="48">
        <v>8.0510000000000002</v>
      </c>
      <c r="E21" s="48">
        <v>2.59</v>
      </c>
      <c r="F21" s="48">
        <v>3.78</v>
      </c>
      <c r="G21" s="93" t="s">
        <v>22</v>
      </c>
      <c r="H21" s="94"/>
      <c r="I21" s="97" t="str" cm="1">
        <f t="array" ref="I21">+_xlfn.IFS($G$21="T3/S2","43,000",$G$21="T3/Se2","47,000",$G$21="T3/S3","48,000")</f>
        <v>48,000</v>
      </c>
      <c r="J21" s="98"/>
      <c r="K21" s="101">
        <f>+U20</f>
        <v>32322</v>
      </c>
      <c r="L21" s="102"/>
      <c r="M21" s="97">
        <f>+I21*95%</f>
        <v>45600</v>
      </c>
      <c r="N21" s="98"/>
      <c r="O21" s="105" t="s">
        <v>49</v>
      </c>
      <c r="P21" s="106"/>
      <c r="U21"/>
    </row>
    <row r="22" spans="2:26" ht="19.5" customHeight="1">
      <c r="B22" s="109" t="s">
        <v>87</v>
      </c>
      <c r="C22" s="109"/>
      <c r="D22" s="50">
        <v>13</v>
      </c>
      <c r="E22" s="51">
        <v>2.6</v>
      </c>
      <c r="F22" s="51">
        <v>3.35</v>
      </c>
      <c r="G22" s="95"/>
      <c r="H22" s="96"/>
      <c r="I22" s="99"/>
      <c r="J22" s="100"/>
      <c r="K22" s="103"/>
      <c r="L22" s="104"/>
      <c r="M22" s="99"/>
      <c r="N22" s="100"/>
      <c r="O22" s="107"/>
      <c r="P22" s="108"/>
      <c r="T22" s="1" t="s">
        <v>25</v>
      </c>
      <c r="U22"/>
    </row>
    <row r="23" spans="2:26" ht="6.75" customHeight="1">
      <c r="U23"/>
      <c r="W23" s="29"/>
      <c r="X23" s="29"/>
      <c r="Y23" s="29"/>
      <c r="Z23" s="29"/>
    </row>
    <row r="24" spans="2:26" s="29" customFormat="1" ht="9" customHeight="1">
      <c r="B24" s="42" t="s">
        <v>50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U24" s="43"/>
    </row>
    <row r="25" spans="2:26" s="29" customFormat="1" ht="9" customHeight="1">
      <c r="B25" s="44" t="s">
        <v>51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</row>
    <row r="26" spans="2:26" s="29" customFormat="1" ht="9" customHeight="1">
      <c r="B26" s="42" t="s">
        <v>52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W26" s="1"/>
      <c r="X26" s="1"/>
      <c r="Y26" s="1"/>
      <c r="Z26" s="1"/>
    </row>
    <row r="27" spans="2:26" ht="11.25" customHeight="1"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</row>
    <row r="28" spans="2:26">
      <c r="B28" s="45" t="s">
        <v>53</v>
      </c>
    </row>
    <row r="29" spans="2:26">
      <c r="B29" s="46" t="s">
        <v>54</v>
      </c>
    </row>
    <row r="30" spans="2:26">
      <c r="B30" s="110"/>
      <c r="C30" s="111"/>
      <c r="D30" s="78" t="s">
        <v>55</v>
      </c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79"/>
    </row>
    <row r="31" spans="2:26">
      <c r="B31" s="57" t="s">
        <v>56</v>
      </c>
      <c r="C31" s="59"/>
      <c r="D31" s="112" t="s">
        <v>57</v>
      </c>
      <c r="E31" s="113"/>
      <c r="F31" s="112" t="s">
        <v>58</v>
      </c>
      <c r="G31" s="113"/>
      <c r="H31" s="112" t="s">
        <v>59</v>
      </c>
      <c r="I31" s="113"/>
      <c r="J31" s="112" t="s">
        <v>60</v>
      </c>
      <c r="K31" s="113"/>
      <c r="L31" s="112" t="s">
        <v>61</v>
      </c>
      <c r="M31" s="114"/>
      <c r="N31" s="114"/>
      <c r="O31" s="112" t="s">
        <v>62</v>
      </c>
      <c r="P31" s="113"/>
    </row>
    <row r="32" spans="2:26">
      <c r="B32" s="118"/>
      <c r="C32" s="111"/>
      <c r="D32" s="115">
        <v>0</v>
      </c>
      <c r="E32" s="115"/>
      <c r="F32" s="115">
        <v>0</v>
      </c>
      <c r="G32" s="115"/>
      <c r="H32" s="115">
        <v>0</v>
      </c>
      <c r="I32" s="115"/>
      <c r="J32" s="115">
        <v>0</v>
      </c>
      <c r="K32" s="115"/>
      <c r="L32" s="115">
        <v>0</v>
      </c>
      <c r="M32" s="115"/>
      <c r="N32" s="115"/>
      <c r="O32" s="115">
        <v>0</v>
      </c>
      <c r="P32" s="115"/>
    </row>
    <row r="33" spans="2:26" ht="6.75" customHeight="1"/>
    <row r="34" spans="2:26">
      <c r="B34" s="29" t="s">
        <v>63</v>
      </c>
      <c r="C34" s="29"/>
    </row>
    <row r="35" spans="2:26">
      <c r="B35" s="29" t="s">
        <v>64</v>
      </c>
      <c r="C35" s="29"/>
      <c r="V35" s="47"/>
    </row>
    <row r="36" spans="2:26">
      <c r="B36" s="29" t="s">
        <v>65</v>
      </c>
      <c r="C36" s="29"/>
    </row>
    <row r="37" spans="2:26">
      <c r="B37" s="29" t="s">
        <v>66</v>
      </c>
      <c r="C37" s="29"/>
    </row>
    <row r="38" spans="2:26">
      <c r="B38" s="29" t="s">
        <v>67</v>
      </c>
    </row>
    <row r="39" spans="2:26">
      <c r="B39" s="29" t="s">
        <v>67</v>
      </c>
    </row>
    <row r="41" spans="2:26">
      <c r="H41" s="1" t="s">
        <v>25</v>
      </c>
    </row>
    <row r="43" spans="2:26">
      <c r="B43" s="29" t="s">
        <v>68</v>
      </c>
      <c r="K43" s="29" t="s">
        <v>69</v>
      </c>
      <c r="W43" s="116"/>
      <c r="X43" s="116"/>
      <c r="Y43" s="116"/>
      <c r="Z43" s="116"/>
    </row>
    <row r="44" spans="2:26">
      <c r="B44" s="117" t="str">
        <f>U7</f>
        <v xml:space="preserve">DANY PEÑA </v>
      </c>
      <c r="C44" s="117"/>
      <c r="D44" s="117"/>
      <c r="E44" s="117"/>
      <c r="K44" s="117" t="str">
        <f>U8</f>
        <v>PROCESO PASCACIO S.</v>
      </c>
      <c r="L44" s="117"/>
      <c r="M44" s="117"/>
      <c r="N44" s="117"/>
      <c r="O44" s="117"/>
    </row>
    <row r="45" spans="2:26">
      <c r="B45" s="116" t="s">
        <v>70</v>
      </c>
      <c r="C45" s="116"/>
      <c r="D45" s="116"/>
      <c r="E45" s="116"/>
      <c r="K45" s="116" t="s">
        <v>71</v>
      </c>
      <c r="L45" s="116"/>
      <c r="M45" s="116"/>
      <c r="N45" s="116"/>
      <c r="O45" s="116"/>
    </row>
    <row r="46" spans="2:26">
      <c r="B46" s="44" t="s">
        <v>72</v>
      </c>
    </row>
    <row r="47" spans="2:26">
      <c r="B47" s="44" t="s">
        <v>73</v>
      </c>
    </row>
    <row r="48" spans="2:26">
      <c r="B48" s="44" t="s">
        <v>74</v>
      </c>
    </row>
    <row r="49" spans="2:2">
      <c r="B49" s="44" t="s">
        <v>75</v>
      </c>
    </row>
    <row r="50" spans="2:2">
      <c r="B50" s="44" t="s">
        <v>76</v>
      </c>
    </row>
    <row r="51" spans="2:2">
      <c r="B51" s="44" t="s">
        <v>77</v>
      </c>
    </row>
    <row r="52" spans="2:2">
      <c r="B52" s="44" t="s">
        <v>78</v>
      </c>
    </row>
    <row r="53" spans="2:2">
      <c r="B53" s="44" t="s">
        <v>79</v>
      </c>
    </row>
    <row r="54" spans="2:2">
      <c r="B54" s="44" t="s">
        <v>80</v>
      </c>
    </row>
    <row r="55" spans="2:2">
      <c r="B55" s="44" t="s">
        <v>81</v>
      </c>
    </row>
  </sheetData>
  <mergeCells count="61">
    <mergeCell ref="O32:P32"/>
    <mergeCell ref="W43:Z43"/>
    <mergeCell ref="B44:E44"/>
    <mergeCell ref="K44:O44"/>
    <mergeCell ref="B45:E45"/>
    <mergeCell ref="K45:O45"/>
    <mergeCell ref="B32:C32"/>
    <mergeCell ref="D32:E32"/>
    <mergeCell ref="F32:G32"/>
    <mergeCell ref="H32:I32"/>
    <mergeCell ref="J32:K32"/>
    <mergeCell ref="L32:N32"/>
    <mergeCell ref="B30:C30"/>
    <mergeCell ref="D30:P30"/>
    <mergeCell ref="B31:C31"/>
    <mergeCell ref="D31:E31"/>
    <mergeCell ref="F31:G31"/>
    <mergeCell ref="H31:I31"/>
    <mergeCell ref="J31:K31"/>
    <mergeCell ref="L31:N31"/>
    <mergeCell ref="O31:P31"/>
    <mergeCell ref="M19:N20"/>
    <mergeCell ref="O19:P20"/>
    <mergeCell ref="B21:C21"/>
    <mergeCell ref="G21:H22"/>
    <mergeCell ref="I21:J22"/>
    <mergeCell ref="K21:L22"/>
    <mergeCell ref="M21:N22"/>
    <mergeCell ref="O21:P22"/>
    <mergeCell ref="B22:C22"/>
    <mergeCell ref="K19:L20"/>
    <mergeCell ref="B18:G18"/>
    <mergeCell ref="B19:C20"/>
    <mergeCell ref="D19:F19"/>
    <mergeCell ref="G19:H20"/>
    <mergeCell ref="I19:J20"/>
    <mergeCell ref="T14:U14"/>
    <mergeCell ref="B16:C16"/>
    <mergeCell ref="F16:G16"/>
    <mergeCell ref="J16:K16"/>
    <mergeCell ref="N16:O16"/>
    <mergeCell ref="B10:C10"/>
    <mergeCell ref="D10:I10"/>
    <mergeCell ref="K10:M10"/>
    <mergeCell ref="O10:P10"/>
    <mergeCell ref="T10:T12"/>
    <mergeCell ref="B11:C11"/>
    <mergeCell ref="D11:P11"/>
    <mergeCell ref="B12:C12"/>
    <mergeCell ref="D12:F12"/>
    <mergeCell ref="G12:H12"/>
    <mergeCell ref="I12:K12"/>
    <mergeCell ref="L12:N12"/>
    <mergeCell ref="O12:P12"/>
    <mergeCell ref="L8:N8"/>
    <mergeCell ref="O8:P8"/>
    <mergeCell ref="C4:O4"/>
    <mergeCell ref="B5:P5"/>
    <mergeCell ref="C7:D7"/>
    <mergeCell ref="L7:N7"/>
    <mergeCell ref="O7:P7"/>
  </mergeCells>
  <conditionalFormatting sqref="D1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6">
    <cfRule type="iconSet" priority="7">
      <iconSet iconSet="3TrafficLights2">
        <cfvo type="percent" val="0"/>
        <cfvo type="percent" val="33"/>
        <cfvo type="percent" val="67"/>
      </iconSet>
    </cfRule>
  </conditionalFormatting>
  <conditionalFormatting sqref="U8">
    <cfRule type="duplicateValues" dxfId="5" priority="4"/>
    <cfRule type="duplicateValues" dxfId="4" priority="5"/>
    <cfRule type="duplicateValues" dxfId="3" priority="6"/>
  </conditionalFormatting>
  <conditionalFormatting sqref="U10">
    <cfRule type="duplicateValues" dxfId="2" priority="1"/>
    <cfRule type="duplicateValues" dxfId="1" priority="2"/>
    <cfRule type="duplicateValues" dxfId="0" priority="3"/>
  </conditionalFormatting>
  <printOptions horizontalCentered="1" verticalCentered="1"/>
  <pageMargins left="0.3" right="0.23622047244094491" top="0.57999999999999996" bottom="0.44" header="0.31496062992125984" footer="0.31496062992125984"/>
  <pageSetup paperSize="9" scale="7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5873" r:id="rId4" name="Button 1">
              <controlPr defaultSize="0" print="0" autoFill="0" autoPict="0" macro="[1]!GUARDAR">
                <anchor moveWithCells="1" sizeWithCells="1">
                  <from>
                    <xdr:col>19</xdr:col>
                    <xdr:colOff>0</xdr:colOff>
                    <xdr:row>2</xdr:row>
                    <xdr:rowOff>30480</xdr:rowOff>
                  </from>
                  <to>
                    <xdr:col>19</xdr:col>
                    <xdr:colOff>1333500</xdr:colOff>
                    <xdr:row>4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BG136</vt:lpstr>
      <vt:lpstr>'BG136'!Área_de_impresión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Peña</dc:creator>
  <cp:lastModifiedBy>Daniel Quiroz</cp:lastModifiedBy>
  <cp:lastPrinted>2026-04-06T22:43:14Z</cp:lastPrinted>
  <dcterms:created xsi:type="dcterms:W3CDTF">2026-03-18T14:25:48Z</dcterms:created>
  <dcterms:modified xsi:type="dcterms:W3CDTF">2026-04-06T22:43:37Z</dcterms:modified>
</cp:coreProperties>
</file>