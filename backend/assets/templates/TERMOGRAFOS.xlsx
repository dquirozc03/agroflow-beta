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.sane.calidad\Desktop\"/>
    </mc:Choice>
  </mc:AlternateContent>
  <xr:revisionPtr revIDLastSave="0" documentId="13_ncr:1_{F332501F-B4AF-4DDC-87FE-C7D4462B4FFE}" xr6:coauthVersionLast="47" xr6:coauthVersionMax="47" xr10:uidLastSave="{00000000-0000-0000-0000-000000000000}"/>
  <bookViews>
    <workbookView xWindow="-120" yWindow="-120" windowWidth="29040" windowHeight="15720" xr2:uid="{FCC3F2AE-E752-4F72-8E95-0912F67A46CB}"/>
  </bookViews>
  <sheets>
    <sheet name="MARITI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" i="1" l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3" i="1"/>
  <c r="C4" i="1"/>
  <c r="C5" i="1"/>
  <c r="C6" i="1"/>
  <c r="C7" i="1"/>
  <c r="C8" i="1"/>
  <c r="C9" i="1"/>
  <c r="C10" i="1"/>
  <c r="C11" i="1"/>
  <c r="C12" i="1"/>
  <c r="C13" i="1"/>
  <c r="C14" i="1"/>
</calcChain>
</file>

<file path=xl/sharedStrings.xml><?xml version="1.0" encoding="utf-8"?>
<sst xmlns="http://schemas.openxmlformats.org/spreadsheetml/2006/main" count="1352" uniqueCount="371">
  <si>
    <t>CUADRO DE TERMOGRAFOS - MARITIMO</t>
  </si>
  <si>
    <t>N°</t>
  </si>
  <si>
    <t>FECHA DE EMBARQUE</t>
  </si>
  <si>
    <t>SEMANA EMBARQUE</t>
  </si>
  <si>
    <t>MODALIDAD TRANSPORTE</t>
  </si>
  <si>
    <t>PLANTA</t>
  </si>
  <si>
    <t>ORDEN BETA</t>
  </si>
  <si>
    <t>N° CONTENEDOR</t>
  </si>
  <si>
    <t xml:space="preserve">BOOKING </t>
  </si>
  <si>
    <t>CLIENTE</t>
  </si>
  <si>
    <t>DESTINO</t>
  </si>
  <si>
    <t>SET POINT (T°)</t>
  </si>
  <si>
    <t>TIPO DE TERMOGRAFO</t>
  </si>
  <si>
    <t>CODIGO DE TERMOGRAFO</t>
  </si>
  <si>
    <t>PALLET</t>
  </si>
  <si>
    <t>POSICION DE PALLET</t>
  </si>
  <si>
    <t>VARIEDAD</t>
  </si>
  <si>
    <t>PRESENTACIONES POR PALLET</t>
  </si>
  <si>
    <t xml:space="preserve">TIPOS DE CAJA </t>
  </si>
  <si>
    <t>MARCA DE CAJA</t>
  </si>
  <si>
    <t>MARITIMO</t>
  </si>
  <si>
    <t>ICA</t>
  </si>
  <si>
    <t>BG-001</t>
  </si>
  <si>
    <t>MEDU 911452-1</t>
  </si>
  <si>
    <t>EBKG16127693</t>
  </si>
  <si>
    <t>OGL</t>
  </si>
  <si>
    <t>HOLANDA</t>
  </si>
  <si>
    <t>TEMPTALE</t>
  </si>
  <si>
    <t>PJ34NS1AT0</t>
  </si>
  <si>
    <t>GW-0071</t>
  </si>
  <si>
    <t>WONDERFUL</t>
  </si>
  <si>
    <t>3.8 Kg.</t>
  </si>
  <si>
    <t>BETA</t>
  </si>
  <si>
    <t>PJ34NS1650</t>
  </si>
  <si>
    <t>GW-0068</t>
  </si>
  <si>
    <t>CARTÓN</t>
  </si>
  <si>
    <t>BG-080</t>
  </si>
  <si>
    <t>MEDU 904959-7</t>
  </si>
  <si>
    <t>EBKG1612782</t>
  </si>
  <si>
    <t>COMEXA</t>
  </si>
  <si>
    <t>EBKG1612783</t>
  </si>
  <si>
    <t>CAJA OGL</t>
  </si>
  <si>
    <t>PJ34NS01V0</t>
  </si>
  <si>
    <t>PHT4NSMVS</t>
  </si>
  <si>
    <t>GW-0010</t>
  </si>
  <si>
    <t>GWPCH-001</t>
  </si>
  <si>
    <t>BG-004</t>
  </si>
  <si>
    <t>MEDU 914408-5</t>
  </si>
  <si>
    <t>EBKG16161818</t>
  </si>
  <si>
    <t>INGLATERRA</t>
  </si>
  <si>
    <t>PJ34NS01S0</t>
  </si>
  <si>
    <t>GW-0117</t>
  </si>
  <si>
    <t>PJ34NS0880</t>
  </si>
  <si>
    <t>GW-0131</t>
  </si>
  <si>
    <t>SZLU 911109-7</t>
  </si>
  <si>
    <t>EBKG16127688</t>
  </si>
  <si>
    <t>PHT4NSJRS0</t>
  </si>
  <si>
    <t>PHT4NSJHG0</t>
  </si>
  <si>
    <t>GW-0031</t>
  </si>
  <si>
    <t>GWPCH-003</t>
  </si>
  <si>
    <t>BG-081</t>
  </si>
  <si>
    <t>BG-003</t>
  </si>
  <si>
    <t>MNBU 041980-8</t>
  </si>
  <si>
    <t>PJGYN00QXV</t>
  </si>
  <si>
    <t>PJGYN00R7V</t>
  </si>
  <si>
    <t>GW-0147</t>
  </si>
  <si>
    <t>GW-0136</t>
  </si>
  <si>
    <t>BG-002</t>
  </si>
  <si>
    <t>TRLU 188553-2</t>
  </si>
  <si>
    <t>EBKG16127707</t>
  </si>
  <si>
    <t>PJ34NS1GQ0</t>
  </si>
  <si>
    <t>GW-0106</t>
  </si>
  <si>
    <t>PJ34NS1V90</t>
  </si>
  <si>
    <t>GW-0099</t>
  </si>
  <si>
    <t>BG-115</t>
  </si>
  <si>
    <t>BG-060</t>
  </si>
  <si>
    <t>BG-030</t>
  </si>
  <si>
    <t>BG-092</t>
  </si>
  <si>
    <t>BG-082</t>
  </si>
  <si>
    <t>MEDU 967278-1</t>
  </si>
  <si>
    <t>EBKG16161832</t>
  </si>
  <si>
    <t>PFS4NSDBM0</t>
  </si>
  <si>
    <t>PG34NS0CP0</t>
  </si>
  <si>
    <t>GW-0217</t>
  </si>
  <si>
    <t>GW-0086</t>
  </si>
  <si>
    <t>MEDU 978377-0</t>
  </si>
  <si>
    <t>EBKG16271606</t>
  </si>
  <si>
    <t>INCO 92 B.V.</t>
  </si>
  <si>
    <t>PJ34NS01Q0</t>
  </si>
  <si>
    <t>PJ34NS25YQ</t>
  </si>
  <si>
    <t>GW-0247</t>
  </si>
  <si>
    <t>GW-0062</t>
  </si>
  <si>
    <t>MEDU 978695-3</t>
  </si>
  <si>
    <t>EBKG16271663</t>
  </si>
  <si>
    <t>BETA BEST</t>
  </si>
  <si>
    <t>PKEYN00DWV</t>
  </si>
  <si>
    <t>GW-0314</t>
  </si>
  <si>
    <t>PJ5YN081EV</t>
  </si>
  <si>
    <t>GW-0307</t>
  </si>
  <si>
    <t>MNBU 404062-2</t>
  </si>
  <si>
    <t>ESPAÑA</t>
  </si>
  <si>
    <t>GIMENEZ</t>
  </si>
  <si>
    <t>PJGYN00R1V</t>
  </si>
  <si>
    <t>GW-0381</t>
  </si>
  <si>
    <t>PJGYN00QZV</t>
  </si>
  <si>
    <t>GW-0340</t>
  </si>
  <si>
    <t>MMAU 104868-3</t>
  </si>
  <si>
    <t>PJGYN00QYV</t>
  </si>
  <si>
    <t>PJGYN00QWV</t>
  </si>
  <si>
    <t>GW-0319</t>
  </si>
  <si>
    <t>BG-046</t>
  </si>
  <si>
    <t>MNBU 001876-5</t>
  </si>
  <si>
    <t>WIDMANN</t>
  </si>
  <si>
    <t>PJGYN00QVV</t>
  </si>
  <si>
    <t>PJGYN00QTV</t>
  </si>
  <si>
    <t>GW-0399</t>
  </si>
  <si>
    <t>GW-0472</t>
  </si>
  <si>
    <t>GW-0327</t>
  </si>
  <si>
    <t>BG-031</t>
  </si>
  <si>
    <t>BG-045</t>
  </si>
  <si>
    <t>BG-107</t>
  </si>
  <si>
    <t>MEDU 912993-8</t>
  </si>
  <si>
    <t>EBKG16289139</t>
  </si>
  <si>
    <t>PHJYN088MV</t>
  </si>
  <si>
    <t>PKNYN07FBV</t>
  </si>
  <si>
    <t>GW-0439</t>
  </si>
  <si>
    <t>GW-0385</t>
  </si>
  <si>
    <t>MEDU 961217-0</t>
  </si>
  <si>
    <t>EBKG16289207</t>
  </si>
  <si>
    <t>3.8 Kg.(17)/10.0 Kg.(1)</t>
  </si>
  <si>
    <t>PK1YN04QMV</t>
  </si>
  <si>
    <t>PK1YN04QRV</t>
  </si>
  <si>
    <t>GW-0155</t>
  </si>
  <si>
    <t>GW-0145</t>
  </si>
  <si>
    <t>WEALMOOR</t>
  </si>
  <si>
    <t>MSGU 910626-8</t>
  </si>
  <si>
    <t>EBKG16289090</t>
  </si>
  <si>
    <t>PK1YN04QKV</t>
  </si>
  <si>
    <t>PK1YN04R1V</t>
  </si>
  <si>
    <t>GW-0362</t>
  </si>
  <si>
    <t>GW-0263</t>
  </si>
  <si>
    <t>BG-061</t>
  </si>
  <si>
    <t>MEDU 966867-3</t>
  </si>
  <si>
    <t>EBKG16291270</t>
  </si>
  <si>
    <t>PGF4NS8R50</t>
  </si>
  <si>
    <t>GW-0293</t>
  </si>
  <si>
    <t>PGF4NS9JH0</t>
  </si>
  <si>
    <t>GW-0376</t>
  </si>
  <si>
    <t>BG-083</t>
  </si>
  <si>
    <t>MEDU 976445-0</t>
  </si>
  <si>
    <t>EBKG16291240</t>
  </si>
  <si>
    <t>PGF4NS98G0</t>
  </si>
  <si>
    <t>GW-0504</t>
  </si>
  <si>
    <t>PGF4NS8YQ0</t>
  </si>
  <si>
    <t>GW-0480</t>
  </si>
  <si>
    <t>BG-132</t>
  </si>
  <si>
    <t>TLLU 117851-8</t>
  </si>
  <si>
    <t>PER9008322A</t>
  </si>
  <si>
    <t>TAMBO SUR</t>
  </si>
  <si>
    <t>CANADA</t>
  </si>
  <si>
    <t>PK1YN04QNV</t>
  </si>
  <si>
    <t>GW-0530</t>
  </si>
  <si>
    <t>PK7YN00YCV</t>
  </si>
  <si>
    <t>GW-0606</t>
  </si>
  <si>
    <t>BG-032</t>
  </si>
  <si>
    <t>MEDU 960858-7</t>
  </si>
  <si>
    <t>EBKG16291274</t>
  </si>
  <si>
    <t>PJ5YN05STV</t>
  </si>
  <si>
    <t>PJ5YN05SVV</t>
  </si>
  <si>
    <t>GW-0506</t>
  </si>
  <si>
    <t>GW-0558</t>
  </si>
  <si>
    <t>BG-053</t>
  </si>
  <si>
    <t>MEDU 973332-0</t>
  </si>
  <si>
    <t>EBKG16290697</t>
  </si>
  <si>
    <t>WESTFALIA</t>
  </si>
  <si>
    <t>PGF4NS9750</t>
  </si>
  <si>
    <t>PGF4NS9KZ0</t>
  </si>
  <si>
    <t>GW-0786</t>
  </si>
  <si>
    <t>GW-0715</t>
  </si>
  <si>
    <t>BG-110</t>
  </si>
  <si>
    <t>MEDU 966688-1</t>
  </si>
  <si>
    <t>EBKG16291293</t>
  </si>
  <si>
    <t>PHPYN02Q1V</t>
  </si>
  <si>
    <t>GWPCH-028</t>
  </si>
  <si>
    <t>PHJYN048YV</t>
  </si>
  <si>
    <t>GW-0594</t>
  </si>
  <si>
    <t>BG-121</t>
  </si>
  <si>
    <t>CXRU 140522-5</t>
  </si>
  <si>
    <t>EBKG16326677</t>
  </si>
  <si>
    <t>PK7YN00YDV</t>
  </si>
  <si>
    <t>PK7YN00Y0V</t>
  </si>
  <si>
    <t>GW-0562</t>
  </si>
  <si>
    <t>GW-0542</t>
  </si>
  <si>
    <t>BG-105</t>
  </si>
  <si>
    <t>ONEU 914145-4</t>
  </si>
  <si>
    <t>LIMG05222500</t>
  </si>
  <si>
    <t>PJ4YN03HDV</t>
  </si>
  <si>
    <t>GW-0666</t>
  </si>
  <si>
    <t>PJ4YN03HCV</t>
  </si>
  <si>
    <t>GW-0769</t>
  </si>
  <si>
    <t>BG-085</t>
  </si>
  <si>
    <t>GESU 959937-9</t>
  </si>
  <si>
    <t>EBKG16326786</t>
  </si>
  <si>
    <t>PK7YN00Y7V</t>
  </si>
  <si>
    <t>PK7YN00Y5V</t>
  </si>
  <si>
    <t>GW-0704</t>
  </si>
  <si>
    <t>GW-0588</t>
  </si>
  <si>
    <t>BG-117</t>
  </si>
  <si>
    <t>OTPU 625942-7</t>
  </si>
  <si>
    <t>LIMG05223600</t>
  </si>
  <si>
    <t>PJ8YN06B7V</t>
  </si>
  <si>
    <t>PJ8YN06ASV</t>
  </si>
  <si>
    <t>GW-0286</t>
  </si>
  <si>
    <t>GW-0219</t>
  </si>
  <si>
    <t>BG-054</t>
  </si>
  <si>
    <t>MNBU 314871-5</t>
  </si>
  <si>
    <t>PJBYN03MRV</t>
  </si>
  <si>
    <t>GW-0847</t>
  </si>
  <si>
    <t>PJBYN03M7V</t>
  </si>
  <si>
    <t>GW-0749</t>
  </si>
  <si>
    <t>BG-096</t>
  </si>
  <si>
    <t>MSDU 902955-6</t>
  </si>
  <si>
    <t>EBKG16326687</t>
  </si>
  <si>
    <t>10 Kg.</t>
  </si>
  <si>
    <t>CAJA NEGRA</t>
  </si>
  <si>
    <t>PJBYN03M6V</t>
  </si>
  <si>
    <t>PJBYN03MFV</t>
  </si>
  <si>
    <t>GW-0231</t>
  </si>
  <si>
    <t>GW-0448</t>
  </si>
  <si>
    <t>BG-141</t>
  </si>
  <si>
    <t>SZLU 939603-0</t>
  </si>
  <si>
    <t>EBKG16326866</t>
  </si>
  <si>
    <t>PJGYN00TFV</t>
  </si>
  <si>
    <t>GW-0674</t>
  </si>
  <si>
    <t>PJGYN00G4V</t>
  </si>
  <si>
    <t>GW-0703</t>
  </si>
  <si>
    <t>BG-047</t>
  </si>
  <si>
    <t>MNBU 394508-8</t>
  </si>
  <si>
    <t>PJ5YN036CV</t>
  </si>
  <si>
    <t>GW-0576</t>
  </si>
  <si>
    <t>PJ5YN036AV</t>
  </si>
  <si>
    <t>GW-0617</t>
  </si>
  <si>
    <t>BG-006</t>
  </si>
  <si>
    <t>MNBU 351208-8</t>
  </si>
  <si>
    <t>PJGYN00G2V</t>
  </si>
  <si>
    <t>GW-0266</t>
  </si>
  <si>
    <t>PJGYN00G5V</t>
  </si>
  <si>
    <t>GW-0273</t>
  </si>
  <si>
    <t>BG-120</t>
  </si>
  <si>
    <t>MNBU 458836-5</t>
  </si>
  <si>
    <t>PJ5YN0361V</t>
  </si>
  <si>
    <t>GW-0406</t>
  </si>
  <si>
    <t>GW-0456</t>
  </si>
  <si>
    <t>PJ5YN0364V</t>
  </si>
  <si>
    <t>BG-139</t>
  </si>
  <si>
    <t>MNBU 314022-6</t>
  </si>
  <si>
    <t>PJGYN00FZV</t>
  </si>
  <si>
    <t>GW-0871</t>
  </si>
  <si>
    <t>GW-0774</t>
  </si>
  <si>
    <t>PJ5YN035YV</t>
  </si>
  <si>
    <t>BG-086</t>
  </si>
  <si>
    <t>MNBU 027817-1</t>
  </si>
  <si>
    <t>PJ5YN0367V</t>
  </si>
  <si>
    <t>GW-0649</t>
  </si>
  <si>
    <t>GW-0687</t>
  </si>
  <si>
    <t>PJ5YN0369V</t>
  </si>
  <si>
    <t>BG-097</t>
  </si>
  <si>
    <t>MNBU 043719-1</t>
  </si>
  <si>
    <t>PJ5YN0368V</t>
  </si>
  <si>
    <t>GW-0928</t>
  </si>
  <si>
    <t>3.8 Kg.(4)/10.0 Kg.(16)</t>
  </si>
  <si>
    <t>PJ5YN0366V</t>
  </si>
  <si>
    <t>GW-0848</t>
  </si>
  <si>
    <t>BG-116</t>
  </si>
  <si>
    <t>SUDU 824157-5</t>
  </si>
  <si>
    <t>PJ5YN0363V</t>
  </si>
  <si>
    <t>GW-0211</t>
  </si>
  <si>
    <t>PJ5YN0365V</t>
  </si>
  <si>
    <t>GW-0240</t>
  </si>
  <si>
    <t>BG-005</t>
  </si>
  <si>
    <t>MNBU 022126-3</t>
  </si>
  <si>
    <t>PJGYN00FNV</t>
  </si>
  <si>
    <t>PJGYN00FMV</t>
  </si>
  <si>
    <t>GW-0202</t>
  </si>
  <si>
    <t>GW-0185</t>
  </si>
  <si>
    <t>BG-062</t>
  </si>
  <si>
    <t>MNBU 382335-1</t>
  </si>
  <si>
    <t>PJ5YN035SV</t>
  </si>
  <si>
    <t>GW-0725</t>
  </si>
  <si>
    <t>GW-0517</t>
  </si>
  <si>
    <t>PJ5YN035RV</t>
  </si>
  <si>
    <t>BG-125</t>
  </si>
  <si>
    <t>MNBU 010246-0</t>
  </si>
  <si>
    <t>PJGYN00ENV</t>
  </si>
  <si>
    <t>GW-0443</t>
  </si>
  <si>
    <t>PJGYN00FWV</t>
  </si>
  <si>
    <t>GW-0438</t>
  </si>
  <si>
    <t>BG-108</t>
  </si>
  <si>
    <t>SEDU 813686-2</t>
  </si>
  <si>
    <t>PJGYN00FDV</t>
  </si>
  <si>
    <t>GW-0076</t>
  </si>
  <si>
    <t>PLASTICA</t>
  </si>
  <si>
    <t>PJGYN00FPV</t>
  </si>
  <si>
    <t>GW-0292</t>
  </si>
  <si>
    <t>BG-068</t>
  </si>
  <si>
    <t>SEDU 801361-5</t>
  </si>
  <si>
    <t>PJGYN00ETV</t>
  </si>
  <si>
    <t>GW-0878</t>
  </si>
  <si>
    <t>PJGYN00FXV</t>
  </si>
  <si>
    <t>GWPCH-040</t>
  </si>
  <si>
    <t>BG-008</t>
  </si>
  <si>
    <t>MNBU 312888-0</t>
  </si>
  <si>
    <t>PJGYN00G3V</t>
  </si>
  <si>
    <t>GW-0152</t>
  </si>
  <si>
    <t>PJGYN00G1V</t>
  </si>
  <si>
    <t>GW-0173</t>
  </si>
  <si>
    <t>BG-109</t>
  </si>
  <si>
    <t>GESU 944618-0</t>
  </si>
  <si>
    <t>EBKG16326843</t>
  </si>
  <si>
    <t>PK7YN00Y6V</t>
  </si>
  <si>
    <t>GW-0849</t>
  </si>
  <si>
    <t>GW-0889</t>
  </si>
  <si>
    <t>PK7YN00YFV</t>
  </si>
  <si>
    <t>BG-069</t>
  </si>
  <si>
    <t>MNBU 060316-3</t>
  </si>
  <si>
    <t>PJGYN00EHV</t>
  </si>
  <si>
    <t>GW-1086</t>
  </si>
  <si>
    <t>PJGYN00EFV</t>
  </si>
  <si>
    <t>GW-1180</t>
  </si>
  <si>
    <t>BG-152</t>
  </si>
  <si>
    <t>MSCU 742522-0</t>
  </si>
  <si>
    <t>EBKG16326767</t>
  </si>
  <si>
    <t>PK7YN00YSV</t>
  </si>
  <si>
    <t>GW-1055</t>
  </si>
  <si>
    <t>GW-1116</t>
  </si>
  <si>
    <t>PK1YN04QPV</t>
  </si>
  <si>
    <t>BG-134</t>
  </si>
  <si>
    <t>MEDU 913699-0</t>
  </si>
  <si>
    <t>EBKG16326702</t>
  </si>
  <si>
    <t>PK7YN00YEV</t>
  </si>
  <si>
    <t>GW-0741</t>
  </si>
  <si>
    <t>GW-0676</t>
  </si>
  <si>
    <t>PK7YN00YGV</t>
  </si>
  <si>
    <t>BG-153</t>
  </si>
  <si>
    <t>CHIU 905029-3</t>
  </si>
  <si>
    <t>PK7YN00YJV</t>
  </si>
  <si>
    <t>GW-1094</t>
  </si>
  <si>
    <t>PK7YN00YHV</t>
  </si>
  <si>
    <t>GW-1095</t>
  </si>
  <si>
    <t>BG-033</t>
  </si>
  <si>
    <t>TEMU 900989-5</t>
  </si>
  <si>
    <t>EBKG616378603</t>
  </si>
  <si>
    <t>EBKG16326746</t>
  </si>
  <si>
    <t>PHPYN02QJV</t>
  </si>
  <si>
    <t>GW-1140</t>
  </si>
  <si>
    <t>PHJYN048SV</t>
  </si>
  <si>
    <t>GW-1129</t>
  </si>
  <si>
    <t>3.8 Kg.(14)/10.0 Kg.(6)</t>
  </si>
  <si>
    <t>BG-056</t>
  </si>
  <si>
    <t>UACU 479915-0</t>
  </si>
  <si>
    <t>PK7YN010MV</t>
  </si>
  <si>
    <t>GW-0906</t>
  </si>
  <si>
    <t>GW-0789</t>
  </si>
  <si>
    <t>PK7YN00YKV</t>
  </si>
  <si>
    <t>BG-155</t>
  </si>
  <si>
    <t>CGMU 578216-3</t>
  </si>
  <si>
    <t>LMMO579650</t>
  </si>
  <si>
    <t>PJBYN03MHV</t>
  </si>
  <si>
    <t>GW-1104</t>
  </si>
  <si>
    <t>PJBYN03N2V</t>
  </si>
  <si>
    <t>GW-1126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</si>
</sst>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6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Protection="1">
      <protection locked="0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4" fontId="0" fillId="0" borderId="3" xfId="0" applyNumberFormat="1" applyFont="1" applyBorder="1" applyAlignment="1" applyProtection="1">
      <alignment horizontal="center"/>
      <protection locked="0"/>
    </xf>
    <xf numFmtId="0" fontId="0" fillId="0" borderId="3" xfId="0" applyFont="1" applyBorder="1" applyAlignment="1" applyProtection="1">
      <alignment horizontal="center"/>
      <protection locked="0"/>
    </xf>
    <xf numFmtId="0" fontId="0" fillId="0" borderId="2" xfId="0" applyNumberFormat="1" applyFont="1" applyBorder="1" applyAlignment="1" applyProtection="1">
      <alignment horizontal="center"/>
      <protection locked="0"/>
    </xf>
    <xf numFmtId="0" fontId="0" fillId="0" borderId="3" xfId="0" applyNumberFormat="1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28">
    <dxf>
      <font>
        <color rgb="FFC00000"/>
      </font>
      <fill>
        <patternFill>
          <bgColor rgb="FFFFC7D8"/>
        </patternFill>
      </fill>
    </dxf>
    <dxf>
      <font>
        <color theme="3"/>
      </font>
      <fill>
        <patternFill>
          <bgColor theme="8" tint="0.59996337778862885"/>
        </patternFill>
      </fill>
    </dxf>
    <dxf>
      <font>
        <color rgb="FFC00000"/>
      </font>
      <fill>
        <patternFill>
          <bgColor rgb="FFFFC7D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D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theme="6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textRotation="0" indent="0" justifyLastLine="0" shrinkToFit="0" readingOrder="0"/>
      <border diagonalUp="0" diagonalDown="0" outline="0">
        <left/>
        <right/>
        <top style="thin">
          <color indexed="64"/>
        </top>
        <bottom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685800</xdr:colOff>
      <xdr:row>0</xdr:row>
      <xdr:rowOff>561974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8176A0-19B9-489B-A0A0-1D1AF6692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5400" cy="5619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CB0C6-AEE7-4308-8ACC-0AFB5AC9C7CD}" name="Tabla132" displayName="Tabla132" ref="A2:S100" totalsRowShown="0" headerRowDxfId="27" dataDxfId="26" tableBorderDxfId="25">
  <autoFilter ref="A2:S100" xr:uid="{0C6CB0C6-AEE7-4308-8ACC-0AFB5AC9C7CD}"/>
  <tableColumns count="19">
    <tableColumn id="1" xr3:uid="{FAFCFCC0-2246-4143-813D-97700CDC968F}" name="N°" dataDxfId="24"/>
    <tableColumn id="2" xr3:uid="{CF316002-E2BD-4A6B-A6C2-2730A22BACEC}" name="FECHA DE EMBARQUE" dataDxfId="23"/>
    <tableColumn id="3" xr3:uid="{AF6ECE07-F8C7-4392-9292-0FF45D358433}" name="SEMANA EMBARQUE" dataDxfId="22">
      <calculatedColumnFormula>WEEKNUM(Tabla132[[#This Row],[FECHA DE EMBARQUE]])</calculatedColumnFormula>
    </tableColumn>
    <tableColumn id="4" xr3:uid="{D7C67EFC-4603-4659-B3D1-59CC39401BDC}" name="MODALIDAD TRANSPORTE" dataDxfId="21"/>
    <tableColumn id="5" xr3:uid="{95680260-D8D3-4A3C-BA3C-44BF1CEFAFBD}" name="PLANTA" dataDxfId="20"/>
    <tableColumn id="6" xr3:uid="{6EB1B66A-6E5D-4C7A-880A-A986ACEC3C66}" name="ORDEN BETA" dataDxfId="19"/>
    <tableColumn id="20" xr3:uid="{3D78B041-8BD3-4529-AE3E-2062E326FD44}" name="N° CONTENEDOR" dataDxfId="18"/>
    <tableColumn id="33" xr3:uid="{4FB7E2C7-2398-4BBA-AFB2-BC7160C35786}" name="BOOKING " dataDxfId="17"/>
    <tableColumn id="7" xr3:uid="{A76AB894-7B9F-4C30-AE51-BF265FBC30C3}" name="CLIENTE" dataDxfId="16"/>
    <tableColumn id="25" xr3:uid="{911E3AA6-ED62-4551-AD4A-72161E8A4B94}" name="DESTINO" dataDxfId="15"/>
    <tableColumn id="23" xr3:uid="{578F4CEC-4312-4800-89AC-B7BD68F79776}" name="SET POINT (T°)" dataDxfId="14"/>
    <tableColumn id="10" xr3:uid="{AF6723C6-F697-42C9-90BC-BD4FE982F676}" name="TIPO DE TERMOGRAFO" dataDxfId="13"/>
    <tableColumn id="9" xr3:uid="{5DAA95F6-70F7-4939-9106-B91AE20A6613}" name="CODIGO DE TERMOGRAFO" dataDxfId="12"/>
    <tableColumn id="8" xr3:uid="{6DC4F62C-9E13-432E-B92A-A2502AF4C12F}" name="PALLET" dataDxfId="11"/>
    <tableColumn id="11" xr3:uid="{C40784E1-CEA0-4C2E-AFF8-4344575E4FC5}" name="POSICION DE PALLET" dataDxfId="10"/>
    <tableColumn id="26" xr3:uid="{69424431-0581-4643-A617-8F042403BA8D}" name="VARIEDAD" dataDxfId="9"/>
    <tableColumn id="27" xr3:uid="{5E505390-5297-4B38-9661-E2A696587E9E}" name="PRESENTACIONES POR PALLET" dataDxfId="8"/>
    <tableColumn id="28" xr3:uid="{0EE550ED-5E99-4132-80DD-2F2A1E09E5E7}" name="TIPOS DE CAJA " dataDxfId="7"/>
    <tableColumn id="29" xr3:uid="{9F4B7370-2A03-449C-94D4-1FC954FCED0C}" name="MARCA DE CAJA" dataDxfId="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8626-25E0-49A0-9DB7-781DE95B2E2A}">
  <dimension ref="A1:S100"/>
  <sheetViews>
    <sheetView tabSelected="1" topLeftCell="A39" zoomScaleNormal="100" workbookViewId="0">
      <selection activeCell="H55" sqref="H55"/>
    </sheetView>
  </sheetViews>
  <sheetFormatPr baseColWidth="10" defaultRowHeight="20.100000000000001" customHeight="1" x14ac:dyDescent="0.25"/>
  <cols>
    <col min="1" max="1" width="9.140625" style="1" bestFit="1" customWidth="1"/>
    <col min="2" max="3" width="14.42578125" style="1" bestFit="1" customWidth="1"/>
    <col min="4" max="4" width="15.7109375" style="1" bestFit="1" customWidth="1"/>
    <col min="5" max="5" width="11.42578125" style="1" bestFit="1" customWidth="1"/>
    <col min="6" max="6" width="15.28515625" style="1" bestFit="1" customWidth="1"/>
    <col min="7" max="7" width="16.5703125" style="1" bestFit="1" customWidth="1"/>
    <col min="8" max="8" width="13.5703125" style="1" bestFit="1" customWidth="1"/>
    <col min="9" max="9" width="12.140625" style="6" bestFit="1" customWidth="1"/>
    <col min="10" max="10" width="12.5703125" style="6" bestFit="1" customWidth="1"/>
    <col min="11" max="11" width="16.5703125" style="6" bestFit="1" customWidth="1"/>
    <col min="12" max="13" width="16.42578125" style="6" bestFit="1" customWidth="1"/>
    <col min="14" max="14" width="11.140625" style="6" bestFit="1" customWidth="1"/>
    <col min="15" max="15" width="16" style="6" bestFit="1" customWidth="1"/>
    <col min="16" max="16" width="13.42578125" style="6" bestFit="1" customWidth="1"/>
    <col min="17" max="17" width="20.140625" style="6" bestFit="1" customWidth="1"/>
    <col min="18" max="18" width="16.7109375" style="6" bestFit="1" customWidth="1"/>
    <col min="19" max="19" width="17.5703125" style="6" bestFit="1" customWidth="1"/>
    <col min="20" max="20" width="28.7109375" style="1" customWidth="1"/>
    <col min="21" max="16384" width="11.42578125" style="1"/>
  </cols>
  <sheetData>
    <row r="1" spans="1:19" ht="4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6" customFormat="1" ht="30" customHeigh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s="6" customFormat="1" ht="20.100000000000001" customHeight="1" x14ac:dyDescent="0.25">
      <c r="A3" s="7">
        <v>1</v>
      </c>
      <c r="B3" s="8">
        <v>46101</v>
      </c>
      <c r="C3" s="4">
        <f>WEEKNUM(Tabla132[[#This Row],[FECHA DE EMBARQUE]])</f>
        <v>12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5">
        <v>6</v>
      </c>
      <c r="L3" s="4" t="s">
        <v>27</v>
      </c>
      <c r="M3" s="4" t="s">
        <v>28</v>
      </c>
      <c r="N3" s="4" t="s">
        <v>29</v>
      </c>
      <c r="O3" s="4">
        <v>2</v>
      </c>
      <c r="P3" s="4" t="s">
        <v>30</v>
      </c>
      <c r="Q3" s="4" t="s">
        <v>31</v>
      </c>
      <c r="R3" s="4" t="s">
        <v>35</v>
      </c>
      <c r="S3" s="4" t="s">
        <v>41</v>
      </c>
    </row>
    <row r="4" spans="1:19" s="6" customFormat="1" ht="20.100000000000001" customHeight="1" x14ac:dyDescent="0.25">
      <c r="A4" s="7">
        <v>1</v>
      </c>
      <c r="B4" s="8">
        <v>46101</v>
      </c>
      <c r="C4" s="4">
        <f>WEEKNUM(Tabla132[[#This Row],[FECHA DE EMBARQUE]])</f>
        <v>12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5">
        <v>6</v>
      </c>
      <c r="L4" s="4" t="s">
        <v>27</v>
      </c>
      <c r="M4" s="4" t="s">
        <v>33</v>
      </c>
      <c r="N4" s="4" t="s">
        <v>34</v>
      </c>
      <c r="O4" s="4">
        <v>19</v>
      </c>
      <c r="P4" s="4" t="s">
        <v>30</v>
      </c>
      <c r="Q4" s="4" t="s">
        <v>31</v>
      </c>
      <c r="R4" s="4" t="s">
        <v>35</v>
      </c>
      <c r="S4" s="4" t="s">
        <v>41</v>
      </c>
    </row>
    <row r="5" spans="1:19" ht="20.100000000000001" customHeight="1" x14ac:dyDescent="0.25">
      <c r="A5" s="7">
        <v>2</v>
      </c>
      <c r="B5" s="8">
        <v>46101</v>
      </c>
      <c r="C5" s="4">
        <f>WEEKNUM(Tabla132[[#This Row],[FECHA DE EMBARQUE]])</f>
        <v>12</v>
      </c>
      <c r="D5" s="4" t="s">
        <v>20</v>
      </c>
      <c r="E5" s="4" t="s">
        <v>21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26</v>
      </c>
      <c r="K5" s="5">
        <v>6</v>
      </c>
      <c r="L5" s="4" t="s">
        <v>27</v>
      </c>
      <c r="M5" s="4" t="s">
        <v>42</v>
      </c>
      <c r="N5" s="4" t="s">
        <v>44</v>
      </c>
      <c r="O5" s="4">
        <v>2</v>
      </c>
      <c r="P5" s="4" t="s">
        <v>30</v>
      </c>
      <c r="Q5" s="4" t="s">
        <v>31</v>
      </c>
      <c r="R5" s="4" t="s">
        <v>35</v>
      </c>
      <c r="S5" s="9" t="s">
        <v>32</v>
      </c>
    </row>
    <row r="6" spans="1:19" ht="20.100000000000001" customHeight="1" x14ac:dyDescent="0.25">
      <c r="A6" s="7">
        <v>2</v>
      </c>
      <c r="B6" s="8">
        <v>46101</v>
      </c>
      <c r="C6" s="4">
        <f>WEEKNUM(Tabla132[[#This Row],[FECHA DE EMBARQUE]])</f>
        <v>12</v>
      </c>
      <c r="D6" s="4" t="s">
        <v>20</v>
      </c>
      <c r="E6" s="4" t="s">
        <v>21</v>
      </c>
      <c r="F6" s="4" t="s">
        <v>36</v>
      </c>
      <c r="G6" s="4" t="s">
        <v>37</v>
      </c>
      <c r="H6" s="4" t="s">
        <v>40</v>
      </c>
      <c r="I6" s="4" t="s">
        <v>39</v>
      </c>
      <c r="J6" s="4" t="s">
        <v>26</v>
      </c>
      <c r="K6" s="5">
        <v>6</v>
      </c>
      <c r="L6" s="4" t="s">
        <v>27</v>
      </c>
      <c r="M6" s="4" t="s">
        <v>43</v>
      </c>
      <c r="N6" s="4" t="s">
        <v>45</v>
      </c>
      <c r="O6" s="4">
        <v>17</v>
      </c>
      <c r="P6" s="4" t="s">
        <v>30</v>
      </c>
      <c r="Q6" s="4" t="s">
        <v>31</v>
      </c>
      <c r="R6" s="4" t="s">
        <v>35</v>
      </c>
      <c r="S6" s="9" t="s">
        <v>32</v>
      </c>
    </row>
    <row r="7" spans="1:19" ht="20.100000000000001" customHeight="1" x14ac:dyDescent="0.25">
      <c r="A7" s="7">
        <v>3</v>
      </c>
      <c r="B7" s="8">
        <v>46101</v>
      </c>
      <c r="C7" s="4">
        <f>WEEKNUM(Tabla132[[#This Row],[FECHA DE EMBARQUE]])</f>
        <v>12</v>
      </c>
      <c r="D7" s="4" t="s">
        <v>20</v>
      </c>
      <c r="E7" s="4" t="s">
        <v>21</v>
      </c>
      <c r="F7" s="4" t="s">
        <v>46</v>
      </c>
      <c r="G7" s="4" t="s">
        <v>47</v>
      </c>
      <c r="H7" s="4" t="s">
        <v>48</v>
      </c>
      <c r="I7" s="4" t="s">
        <v>25</v>
      </c>
      <c r="J7" s="4" t="s">
        <v>49</v>
      </c>
      <c r="K7" s="5">
        <v>6</v>
      </c>
      <c r="L7" s="4" t="s">
        <v>27</v>
      </c>
      <c r="M7" s="4" t="s">
        <v>50</v>
      </c>
      <c r="N7" s="4" t="s">
        <v>51</v>
      </c>
      <c r="O7" s="4">
        <v>2</v>
      </c>
      <c r="P7" s="4" t="s">
        <v>30</v>
      </c>
      <c r="Q7" s="4" t="s">
        <v>31</v>
      </c>
      <c r="R7" s="4" t="s">
        <v>35</v>
      </c>
      <c r="S7" s="9" t="s">
        <v>41</v>
      </c>
    </row>
    <row r="8" spans="1:19" ht="20.100000000000001" customHeight="1" x14ac:dyDescent="0.25">
      <c r="A8" s="7">
        <v>3</v>
      </c>
      <c r="B8" s="8">
        <v>46101</v>
      </c>
      <c r="C8" s="4">
        <f>WEEKNUM(Tabla132[[#This Row],[FECHA DE EMBARQUE]])</f>
        <v>12</v>
      </c>
      <c r="D8" s="4" t="s">
        <v>20</v>
      </c>
      <c r="E8" s="4" t="s">
        <v>21</v>
      </c>
      <c r="F8" s="4" t="s">
        <v>46</v>
      </c>
      <c r="G8" s="4" t="s">
        <v>47</v>
      </c>
      <c r="H8" s="4" t="s">
        <v>48</v>
      </c>
      <c r="I8" s="4" t="s">
        <v>25</v>
      </c>
      <c r="J8" s="4" t="s">
        <v>49</v>
      </c>
      <c r="K8" s="5">
        <v>6</v>
      </c>
      <c r="L8" s="4" t="s">
        <v>27</v>
      </c>
      <c r="M8" s="4" t="s">
        <v>52</v>
      </c>
      <c r="N8" s="4" t="s">
        <v>53</v>
      </c>
      <c r="O8" s="4">
        <v>19</v>
      </c>
      <c r="P8" s="4" t="s">
        <v>30</v>
      </c>
      <c r="Q8" s="4" t="s">
        <v>31</v>
      </c>
      <c r="R8" s="4" t="s">
        <v>35</v>
      </c>
      <c r="S8" s="9" t="s">
        <v>41</v>
      </c>
    </row>
    <row r="9" spans="1:19" ht="20.100000000000001" customHeight="1" x14ac:dyDescent="0.25">
      <c r="A9" s="7">
        <v>4</v>
      </c>
      <c r="B9" s="8">
        <v>46101</v>
      </c>
      <c r="C9" s="4">
        <f>WEEKNUM(Tabla132[[#This Row],[FECHA DE EMBARQUE]])</f>
        <v>12</v>
      </c>
      <c r="D9" s="4" t="s">
        <v>20</v>
      </c>
      <c r="E9" s="4" t="s">
        <v>21</v>
      </c>
      <c r="F9" s="4" t="s">
        <v>60</v>
      </c>
      <c r="G9" s="4" t="s">
        <v>54</v>
      </c>
      <c r="H9" s="4" t="s">
        <v>55</v>
      </c>
      <c r="I9" s="4" t="s">
        <v>39</v>
      </c>
      <c r="J9" s="4" t="s">
        <v>26</v>
      </c>
      <c r="K9" s="5">
        <v>6</v>
      </c>
      <c r="L9" s="4" t="s">
        <v>27</v>
      </c>
      <c r="M9" s="4" t="s">
        <v>56</v>
      </c>
      <c r="N9" s="4" t="s">
        <v>58</v>
      </c>
      <c r="O9" s="4">
        <v>2</v>
      </c>
      <c r="P9" s="4" t="s">
        <v>30</v>
      </c>
      <c r="Q9" s="4" t="s">
        <v>31</v>
      </c>
      <c r="R9" s="4" t="s">
        <v>35</v>
      </c>
      <c r="S9" s="9" t="s">
        <v>32</v>
      </c>
    </row>
    <row r="10" spans="1:19" ht="20.100000000000001" customHeight="1" x14ac:dyDescent="0.25">
      <c r="A10" s="7">
        <v>4</v>
      </c>
      <c r="B10" s="8">
        <v>46101</v>
      </c>
      <c r="C10" s="4">
        <f>WEEKNUM(Tabla132[[#This Row],[FECHA DE EMBARQUE]])</f>
        <v>12</v>
      </c>
      <c r="D10" s="4" t="s">
        <v>20</v>
      </c>
      <c r="E10" s="4" t="s">
        <v>21</v>
      </c>
      <c r="F10" s="4" t="s">
        <v>60</v>
      </c>
      <c r="G10" s="4" t="s">
        <v>54</v>
      </c>
      <c r="H10" s="4" t="s">
        <v>55</v>
      </c>
      <c r="I10" s="4" t="s">
        <v>39</v>
      </c>
      <c r="J10" s="4" t="s">
        <v>26</v>
      </c>
      <c r="K10" s="5">
        <v>6</v>
      </c>
      <c r="L10" s="4" t="s">
        <v>27</v>
      </c>
      <c r="M10" s="4" t="s">
        <v>57</v>
      </c>
      <c r="N10" s="4" t="s">
        <v>59</v>
      </c>
      <c r="O10" s="4">
        <v>17</v>
      </c>
      <c r="P10" s="4" t="s">
        <v>30</v>
      </c>
      <c r="Q10" s="4" t="s">
        <v>31</v>
      </c>
      <c r="R10" s="4" t="s">
        <v>35</v>
      </c>
      <c r="S10" s="9" t="s">
        <v>32</v>
      </c>
    </row>
    <row r="11" spans="1:19" ht="20.100000000000001" customHeight="1" x14ac:dyDescent="0.25">
      <c r="A11" s="7">
        <v>5</v>
      </c>
      <c r="B11" s="8">
        <v>46102</v>
      </c>
      <c r="C11" s="4">
        <f>WEEKNUM(Tabla132[[#This Row],[FECHA DE EMBARQUE]])</f>
        <v>12</v>
      </c>
      <c r="D11" s="4" t="s">
        <v>20</v>
      </c>
      <c r="E11" s="4" t="s">
        <v>21</v>
      </c>
      <c r="F11" s="4" t="s">
        <v>61</v>
      </c>
      <c r="G11" s="4" t="s">
        <v>62</v>
      </c>
      <c r="H11" s="4">
        <v>267703075</v>
      </c>
      <c r="I11" s="4" t="s">
        <v>25</v>
      </c>
      <c r="J11" s="4" t="s">
        <v>26</v>
      </c>
      <c r="K11" s="5">
        <v>6</v>
      </c>
      <c r="L11" s="4" t="s">
        <v>27</v>
      </c>
      <c r="M11" s="4" t="s">
        <v>63</v>
      </c>
      <c r="N11" s="4" t="s">
        <v>65</v>
      </c>
      <c r="O11" s="4">
        <v>2</v>
      </c>
      <c r="P11" s="4" t="s">
        <v>30</v>
      </c>
      <c r="Q11" s="4" t="s">
        <v>31</v>
      </c>
      <c r="R11" s="4" t="s">
        <v>35</v>
      </c>
      <c r="S11" s="9" t="s">
        <v>41</v>
      </c>
    </row>
    <row r="12" spans="1:19" ht="20.100000000000001" customHeight="1" x14ac:dyDescent="0.25">
      <c r="A12" s="7">
        <v>5</v>
      </c>
      <c r="B12" s="8">
        <v>46102</v>
      </c>
      <c r="C12" s="4">
        <f>WEEKNUM(Tabla132[[#This Row],[FECHA DE EMBARQUE]])</f>
        <v>12</v>
      </c>
      <c r="D12" s="4" t="s">
        <v>20</v>
      </c>
      <c r="E12" s="4" t="s">
        <v>21</v>
      </c>
      <c r="F12" s="4" t="s">
        <v>61</v>
      </c>
      <c r="G12" s="4" t="s">
        <v>62</v>
      </c>
      <c r="H12" s="4">
        <v>267703075</v>
      </c>
      <c r="I12" s="4" t="s">
        <v>25</v>
      </c>
      <c r="J12" s="4" t="s">
        <v>26</v>
      </c>
      <c r="K12" s="5">
        <v>6</v>
      </c>
      <c r="L12" s="4" t="s">
        <v>27</v>
      </c>
      <c r="M12" s="4" t="s">
        <v>64</v>
      </c>
      <c r="N12" s="4" t="s">
        <v>66</v>
      </c>
      <c r="O12" s="4">
        <v>17</v>
      </c>
      <c r="P12" s="4" t="s">
        <v>30</v>
      </c>
      <c r="Q12" s="4" t="s">
        <v>31</v>
      </c>
      <c r="R12" s="4" t="s">
        <v>35</v>
      </c>
      <c r="S12" s="9" t="s">
        <v>41</v>
      </c>
    </row>
    <row r="13" spans="1:19" ht="20.100000000000001" customHeight="1" x14ac:dyDescent="0.25">
      <c r="A13" s="7">
        <v>6</v>
      </c>
      <c r="B13" s="8">
        <v>46102</v>
      </c>
      <c r="C13" s="4">
        <f>WEEKNUM(Tabla132[[#This Row],[FECHA DE EMBARQUE]])</f>
        <v>12</v>
      </c>
      <c r="D13" s="4" t="s">
        <v>20</v>
      </c>
      <c r="E13" s="4" t="s">
        <v>21</v>
      </c>
      <c r="F13" s="4" t="s">
        <v>67</v>
      </c>
      <c r="G13" s="4" t="s">
        <v>68</v>
      </c>
      <c r="H13" s="4" t="s">
        <v>69</v>
      </c>
      <c r="I13" s="4" t="s">
        <v>25</v>
      </c>
      <c r="J13" s="4" t="s">
        <v>26</v>
      </c>
      <c r="K13" s="5">
        <v>6</v>
      </c>
      <c r="L13" s="4" t="s">
        <v>27</v>
      </c>
      <c r="M13" s="4" t="s">
        <v>70</v>
      </c>
      <c r="N13" s="4" t="s">
        <v>71</v>
      </c>
      <c r="O13" s="4">
        <v>2</v>
      </c>
      <c r="P13" s="4" t="s">
        <v>30</v>
      </c>
      <c r="Q13" s="4" t="s">
        <v>31</v>
      </c>
      <c r="R13" s="4" t="s">
        <v>35</v>
      </c>
      <c r="S13" s="9" t="s">
        <v>41</v>
      </c>
    </row>
    <row r="14" spans="1:19" ht="20.100000000000001" customHeight="1" x14ac:dyDescent="0.25">
      <c r="A14" s="7">
        <v>6</v>
      </c>
      <c r="B14" s="8">
        <v>46102</v>
      </c>
      <c r="C14" s="4">
        <f>WEEKNUM(Tabla132[[#This Row],[FECHA DE EMBARQUE]])</f>
        <v>12</v>
      </c>
      <c r="D14" s="4" t="s">
        <v>20</v>
      </c>
      <c r="E14" s="4" t="s">
        <v>21</v>
      </c>
      <c r="F14" s="4" t="s">
        <v>67</v>
      </c>
      <c r="G14" s="4" t="s">
        <v>68</v>
      </c>
      <c r="H14" s="4" t="s">
        <v>69</v>
      </c>
      <c r="I14" s="4" t="s">
        <v>25</v>
      </c>
      <c r="J14" s="4" t="s">
        <v>26</v>
      </c>
      <c r="K14" s="5">
        <v>6</v>
      </c>
      <c r="L14" s="4" t="s">
        <v>27</v>
      </c>
      <c r="M14" s="4" t="s">
        <v>72</v>
      </c>
      <c r="N14" s="4" t="s">
        <v>73</v>
      </c>
      <c r="O14" s="4">
        <v>16</v>
      </c>
      <c r="P14" s="4" t="s">
        <v>30</v>
      </c>
      <c r="Q14" s="4" t="s">
        <v>31</v>
      </c>
      <c r="R14" s="4" t="s">
        <v>35</v>
      </c>
      <c r="S14" s="9" t="s">
        <v>41</v>
      </c>
    </row>
    <row r="15" spans="1:19" ht="20.100000000000001" customHeight="1" x14ac:dyDescent="0.25">
      <c r="A15" s="7">
        <v>7</v>
      </c>
      <c r="B15" s="8">
        <v>46104</v>
      </c>
      <c r="C15" s="4">
        <f>WEEKNUM(Tabla132[[#This Row],[FECHA DE EMBARQUE]])</f>
        <v>13</v>
      </c>
      <c r="D15" s="4" t="s">
        <v>20</v>
      </c>
      <c r="E15" s="4" t="s">
        <v>21</v>
      </c>
      <c r="F15" s="4" t="s">
        <v>74</v>
      </c>
      <c r="G15" s="4" t="s">
        <v>79</v>
      </c>
      <c r="H15" s="4" t="s">
        <v>80</v>
      </c>
      <c r="I15" s="4" t="s">
        <v>39</v>
      </c>
      <c r="J15" s="4" t="s">
        <v>26</v>
      </c>
      <c r="K15" s="5">
        <v>6</v>
      </c>
      <c r="L15" s="4" t="s">
        <v>27</v>
      </c>
      <c r="M15" s="4" t="s">
        <v>81</v>
      </c>
      <c r="N15" s="4" t="s">
        <v>83</v>
      </c>
      <c r="O15" s="4">
        <v>1</v>
      </c>
      <c r="P15" s="4" t="s">
        <v>30</v>
      </c>
      <c r="Q15" s="4" t="s">
        <v>31</v>
      </c>
      <c r="R15" s="4" t="s">
        <v>35</v>
      </c>
      <c r="S15" s="9" t="s">
        <v>32</v>
      </c>
    </row>
    <row r="16" spans="1:19" ht="20.100000000000001" customHeight="1" x14ac:dyDescent="0.25">
      <c r="A16" s="7">
        <v>7</v>
      </c>
      <c r="B16" s="8">
        <v>46104</v>
      </c>
      <c r="C16" s="4">
        <f>WEEKNUM(Tabla132[[#This Row],[FECHA DE EMBARQUE]])</f>
        <v>13</v>
      </c>
      <c r="D16" s="4" t="s">
        <v>20</v>
      </c>
      <c r="E16" s="4" t="s">
        <v>21</v>
      </c>
      <c r="F16" s="4" t="s">
        <v>74</v>
      </c>
      <c r="G16" s="4" t="s">
        <v>79</v>
      </c>
      <c r="H16" s="4" t="s">
        <v>80</v>
      </c>
      <c r="I16" s="4" t="s">
        <v>39</v>
      </c>
      <c r="J16" s="4" t="s">
        <v>26</v>
      </c>
      <c r="K16" s="5">
        <v>6</v>
      </c>
      <c r="L16" s="4" t="s">
        <v>27</v>
      </c>
      <c r="M16" s="4" t="s">
        <v>82</v>
      </c>
      <c r="N16" s="4" t="s">
        <v>84</v>
      </c>
      <c r="O16" s="4">
        <v>17</v>
      </c>
      <c r="P16" s="4" t="s">
        <v>30</v>
      </c>
      <c r="Q16" s="4" t="s">
        <v>31</v>
      </c>
      <c r="R16" s="4" t="s">
        <v>35</v>
      </c>
      <c r="S16" s="9" t="s">
        <v>32</v>
      </c>
    </row>
    <row r="17" spans="1:19" ht="20.100000000000001" customHeight="1" x14ac:dyDescent="0.25">
      <c r="A17" s="7">
        <v>8</v>
      </c>
      <c r="B17" s="8">
        <v>46104</v>
      </c>
      <c r="C17" s="4">
        <f>WEEKNUM(Tabla132[[#This Row],[FECHA DE EMBARQUE]])</f>
        <v>13</v>
      </c>
      <c r="D17" s="4" t="s">
        <v>20</v>
      </c>
      <c r="E17" s="4" t="s">
        <v>21</v>
      </c>
      <c r="F17" s="4" t="s">
        <v>75</v>
      </c>
      <c r="G17" s="4" t="s">
        <v>85</v>
      </c>
      <c r="H17" s="4" t="s">
        <v>86</v>
      </c>
      <c r="I17" s="4" t="s">
        <v>87</v>
      </c>
      <c r="J17" s="4" t="s">
        <v>26</v>
      </c>
      <c r="K17" s="5">
        <v>6</v>
      </c>
      <c r="L17" s="4" t="s">
        <v>27</v>
      </c>
      <c r="M17" s="4" t="s">
        <v>88</v>
      </c>
      <c r="N17" s="4" t="s">
        <v>90</v>
      </c>
      <c r="O17" s="4">
        <v>2</v>
      </c>
      <c r="P17" s="4" t="s">
        <v>30</v>
      </c>
      <c r="Q17" s="4" t="s">
        <v>31</v>
      </c>
      <c r="R17" s="4" t="s">
        <v>35</v>
      </c>
      <c r="S17" s="9" t="s">
        <v>32</v>
      </c>
    </row>
    <row r="18" spans="1:19" ht="20.100000000000001" customHeight="1" x14ac:dyDescent="0.25">
      <c r="A18" s="7">
        <v>8</v>
      </c>
      <c r="B18" s="8">
        <v>46104</v>
      </c>
      <c r="C18" s="4">
        <f>WEEKNUM(Tabla132[[#This Row],[FECHA DE EMBARQUE]])</f>
        <v>13</v>
      </c>
      <c r="D18" s="4" t="s">
        <v>20</v>
      </c>
      <c r="E18" s="4" t="s">
        <v>21</v>
      </c>
      <c r="F18" s="4" t="s">
        <v>75</v>
      </c>
      <c r="G18" s="4" t="s">
        <v>85</v>
      </c>
      <c r="H18" s="4" t="s">
        <v>86</v>
      </c>
      <c r="I18" s="4" t="s">
        <v>87</v>
      </c>
      <c r="J18" s="4" t="s">
        <v>26</v>
      </c>
      <c r="K18" s="5">
        <v>6</v>
      </c>
      <c r="L18" s="4" t="s">
        <v>27</v>
      </c>
      <c r="M18" s="4" t="s">
        <v>89</v>
      </c>
      <c r="N18" s="4" t="s">
        <v>91</v>
      </c>
      <c r="O18" s="4">
        <v>19</v>
      </c>
      <c r="P18" s="4" t="s">
        <v>30</v>
      </c>
      <c r="Q18" s="4" t="s">
        <v>31</v>
      </c>
      <c r="R18" s="4" t="s">
        <v>35</v>
      </c>
      <c r="S18" s="9" t="s">
        <v>32</v>
      </c>
    </row>
    <row r="19" spans="1:19" ht="20.100000000000001" customHeight="1" x14ac:dyDescent="0.25">
      <c r="A19" s="7">
        <v>9</v>
      </c>
      <c r="B19" s="8">
        <v>46104</v>
      </c>
      <c r="C19" s="4">
        <f>WEEKNUM(Tabla132[[#This Row],[FECHA DE EMBARQUE]])</f>
        <v>13</v>
      </c>
      <c r="D19" s="4" t="s">
        <v>20</v>
      </c>
      <c r="E19" s="4" t="s">
        <v>21</v>
      </c>
      <c r="F19" s="4" t="s">
        <v>76</v>
      </c>
      <c r="G19" s="4" t="s">
        <v>92</v>
      </c>
      <c r="H19" s="4" t="s">
        <v>93</v>
      </c>
      <c r="I19" s="4" t="s">
        <v>94</v>
      </c>
      <c r="J19" s="4" t="s">
        <v>26</v>
      </c>
      <c r="K19" s="5">
        <v>6</v>
      </c>
      <c r="L19" s="4" t="s">
        <v>27</v>
      </c>
      <c r="M19" s="4" t="s">
        <v>95</v>
      </c>
      <c r="N19" s="4" t="s">
        <v>96</v>
      </c>
      <c r="O19" s="4">
        <v>2</v>
      </c>
      <c r="P19" s="4" t="s">
        <v>30</v>
      </c>
      <c r="Q19" s="4" t="s">
        <v>31</v>
      </c>
      <c r="R19" s="4" t="s">
        <v>35</v>
      </c>
      <c r="S19" s="9" t="s">
        <v>32</v>
      </c>
    </row>
    <row r="20" spans="1:19" ht="20.100000000000001" customHeight="1" x14ac:dyDescent="0.25">
      <c r="A20" s="7">
        <v>9</v>
      </c>
      <c r="B20" s="8">
        <v>46104</v>
      </c>
      <c r="C20" s="4">
        <f>WEEKNUM(Tabla132[[#This Row],[FECHA DE EMBARQUE]])</f>
        <v>13</v>
      </c>
      <c r="D20" s="4" t="s">
        <v>20</v>
      </c>
      <c r="E20" s="4" t="s">
        <v>21</v>
      </c>
      <c r="F20" s="4" t="s">
        <v>76</v>
      </c>
      <c r="G20" s="4" t="s">
        <v>92</v>
      </c>
      <c r="H20" s="4" t="s">
        <v>93</v>
      </c>
      <c r="I20" s="4" t="s">
        <v>94</v>
      </c>
      <c r="J20" s="4" t="s">
        <v>26</v>
      </c>
      <c r="K20" s="5">
        <v>6</v>
      </c>
      <c r="L20" s="4" t="s">
        <v>27</v>
      </c>
      <c r="M20" s="4" t="s">
        <v>97</v>
      </c>
      <c r="N20" s="4" t="s">
        <v>98</v>
      </c>
      <c r="O20" s="4">
        <v>17</v>
      </c>
      <c r="P20" s="4" t="s">
        <v>30</v>
      </c>
      <c r="Q20" s="4" t="s">
        <v>31</v>
      </c>
      <c r="R20" s="4" t="s">
        <v>35</v>
      </c>
      <c r="S20" s="9" t="s">
        <v>32</v>
      </c>
    </row>
    <row r="21" spans="1:19" ht="20.100000000000001" customHeight="1" x14ac:dyDescent="0.25">
      <c r="A21" s="7">
        <v>10</v>
      </c>
      <c r="B21" s="8">
        <v>46104</v>
      </c>
      <c r="C21" s="4">
        <f>WEEKNUM(Tabla132[[#This Row],[FECHA DE EMBARQUE]])</f>
        <v>13</v>
      </c>
      <c r="D21" s="4" t="s">
        <v>20</v>
      </c>
      <c r="E21" s="4" t="s">
        <v>21</v>
      </c>
      <c r="F21" s="4" t="s">
        <v>77</v>
      </c>
      <c r="G21" s="4" t="s">
        <v>99</v>
      </c>
      <c r="H21" s="4">
        <v>267703016</v>
      </c>
      <c r="I21" s="4" t="s">
        <v>101</v>
      </c>
      <c r="J21" s="4" t="s">
        <v>100</v>
      </c>
      <c r="K21" s="5">
        <v>6</v>
      </c>
      <c r="L21" s="4" t="s">
        <v>27</v>
      </c>
      <c r="M21" s="4" t="s">
        <v>102</v>
      </c>
      <c r="N21" s="4" t="s">
        <v>103</v>
      </c>
      <c r="O21" s="4">
        <v>2</v>
      </c>
      <c r="P21" s="4" t="s">
        <v>30</v>
      </c>
      <c r="Q21" s="4" t="s">
        <v>31</v>
      </c>
      <c r="R21" s="4" t="s">
        <v>35</v>
      </c>
      <c r="S21" s="9" t="s">
        <v>32</v>
      </c>
    </row>
    <row r="22" spans="1:19" ht="20.100000000000001" customHeight="1" x14ac:dyDescent="0.25">
      <c r="A22" s="7">
        <v>10</v>
      </c>
      <c r="B22" s="8">
        <v>46104</v>
      </c>
      <c r="C22" s="4">
        <f>WEEKNUM(Tabla132[[#This Row],[FECHA DE EMBARQUE]])</f>
        <v>13</v>
      </c>
      <c r="D22" s="4" t="s">
        <v>20</v>
      </c>
      <c r="E22" s="4" t="s">
        <v>21</v>
      </c>
      <c r="F22" s="4" t="s">
        <v>77</v>
      </c>
      <c r="G22" s="4" t="s">
        <v>99</v>
      </c>
      <c r="H22" s="4">
        <v>267703016</v>
      </c>
      <c r="I22" s="4" t="s">
        <v>101</v>
      </c>
      <c r="J22" s="4" t="s">
        <v>100</v>
      </c>
      <c r="K22" s="5">
        <v>6</v>
      </c>
      <c r="L22" s="4" t="s">
        <v>27</v>
      </c>
      <c r="M22" s="4" t="s">
        <v>104</v>
      </c>
      <c r="N22" s="4" t="s">
        <v>105</v>
      </c>
      <c r="O22" s="4">
        <v>17</v>
      </c>
      <c r="P22" s="4" t="s">
        <v>30</v>
      </c>
      <c r="Q22" s="4" t="s">
        <v>31</v>
      </c>
      <c r="R22" s="4" t="s">
        <v>35</v>
      </c>
      <c r="S22" s="9" t="s">
        <v>32</v>
      </c>
    </row>
    <row r="23" spans="1:19" ht="20.100000000000001" customHeight="1" x14ac:dyDescent="0.25">
      <c r="A23" s="7">
        <v>11</v>
      </c>
      <c r="B23" s="8">
        <v>46104</v>
      </c>
      <c r="C23" s="4">
        <f>WEEKNUM(Tabla132[[#This Row],[FECHA DE EMBARQUE]])</f>
        <v>13</v>
      </c>
      <c r="D23" s="4" t="s">
        <v>20</v>
      </c>
      <c r="E23" s="4" t="s">
        <v>21</v>
      </c>
      <c r="F23" s="4" t="s">
        <v>78</v>
      </c>
      <c r="G23" s="4" t="s">
        <v>106</v>
      </c>
      <c r="H23" s="4">
        <v>267703107</v>
      </c>
      <c r="I23" s="4" t="s">
        <v>39</v>
      </c>
      <c r="J23" s="4" t="s">
        <v>26</v>
      </c>
      <c r="K23" s="5">
        <v>6</v>
      </c>
      <c r="L23" s="4" t="s">
        <v>27</v>
      </c>
      <c r="M23" s="4" t="s">
        <v>107</v>
      </c>
      <c r="N23" s="4" t="s">
        <v>109</v>
      </c>
      <c r="O23" s="4">
        <v>2</v>
      </c>
      <c r="P23" s="4" t="s">
        <v>30</v>
      </c>
      <c r="Q23" s="4" t="s">
        <v>31</v>
      </c>
      <c r="R23" s="4" t="s">
        <v>35</v>
      </c>
      <c r="S23" s="9" t="s">
        <v>32</v>
      </c>
    </row>
    <row r="24" spans="1:19" ht="20.100000000000001" customHeight="1" x14ac:dyDescent="0.25">
      <c r="A24" s="7">
        <v>11</v>
      </c>
      <c r="B24" s="8">
        <v>46104</v>
      </c>
      <c r="C24" s="4">
        <f>WEEKNUM(Tabla132[[#This Row],[FECHA DE EMBARQUE]])</f>
        <v>13</v>
      </c>
      <c r="D24" s="4" t="s">
        <v>20</v>
      </c>
      <c r="E24" s="4" t="s">
        <v>21</v>
      </c>
      <c r="F24" s="4" t="s">
        <v>78</v>
      </c>
      <c r="G24" s="4" t="s">
        <v>106</v>
      </c>
      <c r="H24" s="4">
        <v>267703107</v>
      </c>
      <c r="I24" s="4" t="s">
        <v>39</v>
      </c>
      <c r="J24" s="4" t="s">
        <v>26</v>
      </c>
      <c r="K24" s="5">
        <v>6</v>
      </c>
      <c r="L24" s="4" t="s">
        <v>27</v>
      </c>
      <c r="M24" s="4" t="s">
        <v>108</v>
      </c>
      <c r="N24" s="4" t="s">
        <v>115</v>
      </c>
      <c r="O24" s="4">
        <v>17</v>
      </c>
      <c r="P24" s="4" t="s">
        <v>30</v>
      </c>
      <c r="Q24" s="4" t="s">
        <v>31</v>
      </c>
      <c r="R24" s="4" t="s">
        <v>35</v>
      </c>
      <c r="S24" s="9" t="s">
        <v>32</v>
      </c>
    </row>
    <row r="25" spans="1:19" ht="20.100000000000001" customHeight="1" x14ac:dyDescent="0.25">
      <c r="A25" s="7">
        <v>12</v>
      </c>
      <c r="B25" s="8">
        <v>46105</v>
      </c>
      <c r="C25" s="4">
        <f>WEEKNUM(Tabla132[[#This Row],[FECHA DE EMBARQUE]])</f>
        <v>13</v>
      </c>
      <c r="D25" s="4" t="s">
        <v>20</v>
      </c>
      <c r="E25" s="4" t="s">
        <v>21</v>
      </c>
      <c r="F25" s="4" t="s">
        <v>110</v>
      </c>
      <c r="G25" s="4" t="s">
        <v>111</v>
      </c>
      <c r="H25" s="4">
        <v>267703144</v>
      </c>
      <c r="I25" s="4" t="s">
        <v>112</v>
      </c>
      <c r="J25" s="4" t="s">
        <v>26</v>
      </c>
      <c r="K25" s="5">
        <v>6</v>
      </c>
      <c r="L25" s="4" t="s">
        <v>27</v>
      </c>
      <c r="M25" s="4" t="s">
        <v>113</v>
      </c>
      <c r="N25" s="4" t="s">
        <v>116</v>
      </c>
      <c r="O25" s="4">
        <v>2</v>
      </c>
      <c r="P25" s="4" t="s">
        <v>30</v>
      </c>
      <c r="Q25" s="4" t="s">
        <v>31</v>
      </c>
      <c r="R25" s="4" t="s">
        <v>35</v>
      </c>
      <c r="S25" s="9" t="s">
        <v>32</v>
      </c>
    </row>
    <row r="26" spans="1:19" ht="20.100000000000001" customHeight="1" x14ac:dyDescent="0.25">
      <c r="A26" s="7">
        <v>12</v>
      </c>
      <c r="B26" s="8">
        <v>46105</v>
      </c>
      <c r="C26" s="4">
        <f>WEEKNUM(Tabla132[[#This Row],[FECHA DE EMBARQUE]])</f>
        <v>13</v>
      </c>
      <c r="D26" s="4" t="s">
        <v>20</v>
      </c>
      <c r="E26" s="4" t="s">
        <v>21</v>
      </c>
      <c r="F26" s="4" t="s">
        <v>110</v>
      </c>
      <c r="G26" s="4" t="s">
        <v>111</v>
      </c>
      <c r="H26" s="4">
        <v>267703144</v>
      </c>
      <c r="I26" s="4" t="s">
        <v>112</v>
      </c>
      <c r="J26" s="4" t="s">
        <v>26</v>
      </c>
      <c r="K26" s="5">
        <v>6</v>
      </c>
      <c r="L26" s="4" t="s">
        <v>27</v>
      </c>
      <c r="M26" s="4" t="s">
        <v>114</v>
      </c>
      <c r="N26" s="4" t="s">
        <v>117</v>
      </c>
      <c r="O26" s="4">
        <v>17</v>
      </c>
      <c r="P26" s="4" t="s">
        <v>30</v>
      </c>
      <c r="Q26" s="4" t="s">
        <v>31</v>
      </c>
      <c r="R26" s="4" t="s">
        <v>35</v>
      </c>
      <c r="S26" s="9" t="s">
        <v>32</v>
      </c>
    </row>
    <row r="27" spans="1:19" ht="20.100000000000001" customHeight="1" x14ac:dyDescent="0.25">
      <c r="A27" s="7">
        <v>13</v>
      </c>
      <c r="B27" s="8">
        <v>46106</v>
      </c>
      <c r="C27" s="4">
        <f>WEEKNUM(Tabla132[[#This Row],[FECHA DE EMBARQUE]])</f>
        <v>13</v>
      </c>
      <c r="D27" s="4" t="s">
        <v>20</v>
      </c>
      <c r="E27" s="4" t="s">
        <v>21</v>
      </c>
      <c r="F27" s="4" t="s">
        <v>118</v>
      </c>
      <c r="G27" s="4" t="s">
        <v>121</v>
      </c>
      <c r="H27" s="4" t="s">
        <v>122</v>
      </c>
      <c r="I27" s="4" t="s">
        <v>94</v>
      </c>
      <c r="J27" s="4" t="s">
        <v>49</v>
      </c>
      <c r="K27" s="5">
        <v>6</v>
      </c>
      <c r="L27" s="4" t="s">
        <v>27</v>
      </c>
      <c r="M27" s="4" t="s">
        <v>123</v>
      </c>
      <c r="N27" s="4" t="s">
        <v>125</v>
      </c>
      <c r="O27" s="4">
        <v>2</v>
      </c>
      <c r="P27" s="4" t="s">
        <v>30</v>
      </c>
      <c r="Q27" s="4" t="s">
        <v>31</v>
      </c>
      <c r="R27" s="4" t="s">
        <v>35</v>
      </c>
      <c r="S27" s="9" t="s">
        <v>32</v>
      </c>
    </row>
    <row r="28" spans="1:19" ht="20.100000000000001" customHeight="1" x14ac:dyDescent="0.25">
      <c r="A28" s="7">
        <v>13</v>
      </c>
      <c r="B28" s="8">
        <v>46106</v>
      </c>
      <c r="C28" s="4">
        <f>WEEKNUM(Tabla132[[#This Row],[FECHA DE EMBARQUE]])</f>
        <v>13</v>
      </c>
      <c r="D28" s="4" t="s">
        <v>20</v>
      </c>
      <c r="E28" s="4" t="s">
        <v>21</v>
      </c>
      <c r="F28" s="4" t="s">
        <v>118</v>
      </c>
      <c r="G28" s="4" t="s">
        <v>121</v>
      </c>
      <c r="H28" s="4" t="s">
        <v>122</v>
      </c>
      <c r="I28" s="4" t="s">
        <v>94</v>
      </c>
      <c r="J28" s="4" t="s">
        <v>49</v>
      </c>
      <c r="K28" s="5">
        <v>6</v>
      </c>
      <c r="L28" s="4" t="s">
        <v>27</v>
      </c>
      <c r="M28" s="4" t="s">
        <v>124</v>
      </c>
      <c r="N28" s="4" t="s">
        <v>126</v>
      </c>
      <c r="O28" s="4">
        <v>17</v>
      </c>
      <c r="P28" s="4" t="s">
        <v>30</v>
      </c>
      <c r="Q28" s="4" t="s">
        <v>31</v>
      </c>
      <c r="R28" s="4" t="s">
        <v>35</v>
      </c>
      <c r="S28" s="9" t="s">
        <v>32</v>
      </c>
    </row>
    <row r="29" spans="1:19" ht="20.100000000000001" customHeight="1" x14ac:dyDescent="0.25">
      <c r="A29" s="7">
        <v>14</v>
      </c>
      <c r="B29" s="8">
        <v>46106</v>
      </c>
      <c r="C29" s="4">
        <f>WEEKNUM(Tabla132[[#This Row],[FECHA DE EMBARQUE]])</f>
        <v>13</v>
      </c>
      <c r="D29" s="4" t="s">
        <v>20</v>
      </c>
      <c r="E29" s="4" t="s">
        <v>21</v>
      </c>
      <c r="F29" s="4" t="s">
        <v>119</v>
      </c>
      <c r="G29" s="4" t="s">
        <v>127</v>
      </c>
      <c r="H29" s="4" t="s">
        <v>128</v>
      </c>
      <c r="I29" s="4" t="s">
        <v>112</v>
      </c>
      <c r="J29" s="4" t="s">
        <v>26</v>
      </c>
      <c r="K29" s="5">
        <v>6</v>
      </c>
      <c r="L29" s="4" t="s">
        <v>27</v>
      </c>
      <c r="M29" s="4" t="s">
        <v>130</v>
      </c>
      <c r="N29" s="4" t="s">
        <v>132</v>
      </c>
      <c r="O29" s="4">
        <v>2</v>
      </c>
      <c r="P29" s="4" t="s">
        <v>30</v>
      </c>
      <c r="Q29" s="4" t="s">
        <v>129</v>
      </c>
      <c r="R29" s="4" t="s">
        <v>35</v>
      </c>
      <c r="S29" s="9" t="s">
        <v>32</v>
      </c>
    </row>
    <row r="30" spans="1:19" ht="20.100000000000001" customHeight="1" x14ac:dyDescent="0.25">
      <c r="A30" s="7">
        <v>14</v>
      </c>
      <c r="B30" s="8">
        <v>46106</v>
      </c>
      <c r="C30" s="4">
        <f>WEEKNUM(Tabla132[[#This Row],[FECHA DE EMBARQUE]])</f>
        <v>13</v>
      </c>
      <c r="D30" s="4" t="s">
        <v>20</v>
      </c>
      <c r="E30" s="4" t="s">
        <v>21</v>
      </c>
      <c r="F30" s="4" t="s">
        <v>119</v>
      </c>
      <c r="G30" s="4" t="s">
        <v>127</v>
      </c>
      <c r="H30" s="4" t="s">
        <v>128</v>
      </c>
      <c r="I30" s="4" t="s">
        <v>112</v>
      </c>
      <c r="J30" s="4" t="s">
        <v>26</v>
      </c>
      <c r="K30" s="5">
        <v>6</v>
      </c>
      <c r="L30" s="4" t="s">
        <v>27</v>
      </c>
      <c r="M30" s="4" t="s">
        <v>131</v>
      </c>
      <c r="N30" s="4" t="s">
        <v>133</v>
      </c>
      <c r="O30" s="4">
        <v>17</v>
      </c>
      <c r="P30" s="4" t="s">
        <v>30</v>
      </c>
      <c r="Q30" s="4" t="s">
        <v>129</v>
      </c>
      <c r="R30" s="4" t="s">
        <v>35</v>
      </c>
      <c r="S30" s="9" t="s">
        <v>32</v>
      </c>
    </row>
    <row r="31" spans="1:19" ht="20.100000000000001" customHeight="1" x14ac:dyDescent="0.25">
      <c r="A31" s="7">
        <v>15</v>
      </c>
      <c r="B31" s="8">
        <v>46106</v>
      </c>
      <c r="C31" s="4">
        <f>WEEKNUM(Tabla132[[#This Row],[FECHA DE EMBARQUE]])</f>
        <v>13</v>
      </c>
      <c r="D31" s="4" t="s">
        <v>20</v>
      </c>
      <c r="E31" s="4" t="s">
        <v>21</v>
      </c>
      <c r="F31" s="4" t="s">
        <v>120</v>
      </c>
      <c r="G31" s="4" t="s">
        <v>135</v>
      </c>
      <c r="H31" s="4" t="s">
        <v>136</v>
      </c>
      <c r="I31" s="4" t="s">
        <v>134</v>
      </c>
      <c r="J31" s="4" t="s">
        <v>49</v>
      </c>
      <c r="K31" s="5">
        <v>6</v>
      </c>
      <c r="L31" s="4" t="s">
        <v>27</v>
      </c>
      <c r="M31" s="4" t="s">
        <v>137</v>
      </c>
      <c r="N31" s="4" t="s">
        <v>139</v>
      </c>
      <c r="O31" s="4">
        <v>2</v>
      </c>
      <c r="P31" s="4" t="s">
        <v>30</v>
      </c>
      <c r="Q31" s="4" t="s">
        <v>31</v>
      </c>
      <c r="R31" s="4" t="s">
        <v>35</v>
      </c>
      <c r="S31" s="9" t="s">
        <v>32</v>
      </c>
    </row>
    <row r="32" spans="1:19" ht="20.100000000000001" customHeight="1" x14ac:dyDescent="0.25">
      <c r="A32" s="7">
        <v>15</v>
      </c>
      <c r="B32" s="8">
        <v>46106</v>
      </c>
      <c r="C32" s="4">
        <f>WEEKNUM(Tabla132[[#This Row],[FECHA DE EMBARQUE]])</f>
        <v>13</v>
      </c>
      <c r="D32" s="4" t="s">
        <v>20</v>
      </c>
      <c r="E32" s="4" t="s">
        <v>21</v>
      </c>
      <c r="F32" s="4" t="s">
        <v>120</v>
      </c>
      <c r="G32" s="4" t="s">
        <v>135</v>
      </c>
      <c r="H32" s="4" t="s">
        <v>136</v>
      </c>
      <c r="I32" s="4" t="s">
        <v>134</v>
      </c>
      <c r="J32" s="4" t="s">
        <v>49</v>
      </c>
      <c r="K32" s="5">
        <v>6</v>
      </c>
      <c r="L32" s="4" t="s">
        <v>27</v>
      </c>
      <c r="M32" s="4" t="s">
        <v>138</v>
      </c>
      <c r="N32" s="4" t="s">
        <v>140</v>
      </c>
      <c r="O32" s="4">
        <v>17</v>
      </c>
      <c r="P32" s="4" t="s">
        <v>30</v>
      </c>
      <c r="Q32" s="4" t="s">
        <v>31</v>
      </c>
      <c r="R32" s="4" t="s">
        <v>35</v>
      </c>
      <c r="S32" s="9" t="s">
        <v>32</v>
      </c>
    </row>
    <row r="33" spans="1:19" ht="20.100000000000001" customHeight="1" x14ac:dyDescent="0.25">
      <c r="A33" s="7">
        <v>16</v>
      </c>
      <c r="B33" s="8">
        <v>46107</v>
      </c>
      <c r="C33" s="4">
        <f>WEEKNUM(Tabla132[[#This Row],[FECHA DE EMBARQUE]])</f>
        <v>13</v>
      </c>
      <c r="D33" s="4" t="s">
        <v>20</v>
      </c>
      <c r="E33" s="4" t="s">
        <v>21</v>
      </c>
      <c r="F33" s="4" t="s">
        <v>141</v>
      </c>
      <c r="G33" s="4" t="s">
        <v>142</v>
      </c>
      <c r="H33" s="4" t="s">
        <v>143</v>
      </c>
      <c r="I33" s="4" t="s">
        <v>87</v>
      </c>
      <c r="J33" s="4" t="s">
        <v>26</v>
      </c>
      <c r="K33" s="5">
        <v>6</v>
      </c>
      <c r="L33" s="4" t="s">
        <v>27</v>
      </c>
      <c r="M33" s="4" t="s">
        <v>144</v>
      </c>
      <c r="N33" s="4" t="s">
        <v>145</v>
      </c>
      <c r="O33" s="4">
        <v>2</v>
      </c>
      <c r="P33" s="4" t="s">
        <v>30</v>
      </c>
      <c r="Q33" s="4" t="s">
        <v>31</v>
      </c>
      <c r="R33" s="4" t="s">
        <v>35</v>
      </c>
      <c r="S33" s="9" t="s">
        <v>32</v>
      </c>
    </row>
    <row r="34" spans="1:19" ht="20.100000000000001" customHeight="1" x14ac:dyDescent="0.25">
      <c r="A34" s="7">
        <v>16</v>
      </c>
      <c r="B34" s="8">
        <v>46107</v>
      </c>
      <c r="C34" s="4">
        <f>WEEKNUM(Tabla132[[#This Row],[FECHA DE EMBARQUE]])</f>
        <v>13</v>
      </c>
      <c r="D34" s="4" t="s">
        <v>20</v>
      </c>
      <c r="E34" s="4" t="s">
        <v>21</v>
      </c>
      <c r="F34" s="4" t="s">
        <v>141</v>
      </c>
      <c r="G34" s="4" t="s">
        <v>142</v>
      </c>
      <c r="H34" s="4" t="s">
        <v>143</v>
      </c>
      <c r="I34" s="4" t="s">
        <v>87</v>
      </c>
      <c r="J34" s="4" t="s">
        <v>26</v>
      </c>
      <c r="K34" s="5">
        <v>6</v>
      </c>
      <c r="L34" s="4" t="s">
        <v>27</v>
      </c>
      <c r="M34" s="4" t="s">
        <v>146</v>
      </c>
      <c r="N34" s="4" t="s">
        <v>147</v>
      </c>
      <c r="O34" s="4">
        <v>19</v>
      </c>
      <c r="P34" s="4" t="s">
        <v>30</v>
      </c>
      <c r="Q34" s="4" t="s">
        <v>31</v>
      </c>
      <c r="R34" s="4" t="s">
        <v>35</v>
      </c>
      <c r="S34" s="9" t="s">
        <v>32</v>
      </c>
    </row>
    <row r="35" spans="1:19" ht="20.100000000000001" customHeight="1" x14ac:dyDescent="0.25">
      <c r="A35" s="7">
        <v>17</v>
      </c>
      <c r="B35" s="8">
        <v>46107</v>
      </c>
      <c r="C35" s="4">
        <f>WEEKNUM(Tabla132[[#This Row],[FECHA DE EMBARQUE]])</f>
        <v>13</v>
      </c>
      <c r="D35" s="4" t="s">
        <v>20</v>
      </c>
      <c r="E35" s="4" t="s">
        <v>21</v>
      </c>
      <c r="F35" s="4" t="s">
        <v>148</v>
      </c>
      <c r="G35" s="4" t="s">
        <v>149</v>
      </c>
      <c r="H35" s="4" t="s">
        <v>150</v>
      </c>
      <c r="I35" s="4" t="s">
        <v>39</v>
      </c>
      <c r="J35" s="4" t="s">
        <v>26</v>
      </c>
      <c r="K35" s="5">
        <v>6</v>
      </c>
      <c r="L35" s="4" t="s">
        <v>27</v>
      </c>
      <c r="M35" s="4" t="s">
        <v>151</v>
      </c>
      <c r="N35" s="4" t="s">
        <v>152</v>
      </c>
      <c r="O35" s="4">
        <v>2</v>
      </c>
      <c r="P35" s="4" t="s">
        <v>30</v>
      </c>
      <c r="Q35" s="4" t="s">
        <v>31</v>
      </c>
      <c r="R35" s="4" t="s">
        <v>35</v>
      </c>
      <c r="S35" s="9" t="s">
        <v>32</v>
      </c>
    </row>
    <row r="36" spans="1:19" ht="20.100000000000001" customHeight="1" x14ac:dyDescent="0.25">
      <c r="A36" s="7">
        <v>17</v>
      </c>
      <c r="B36" s="8">
        <v>46107</v>
      </c>
      <c r="C36" s="4">
        <f>WEEKNUM(Tabla132[[#This Row],[FECHA DE EMBARQUE]])</f>
        <v>13</v>
      </c>
      <c r="D36" s="4" t="s">
        <v>20</v>
      </c>
      <c r="E36" s="4" t="s">
        <v>21</v>
      </c>
      <c r="F36" s="4" t="s">
        <v>148</v>
      </c>
      <c r="G36" s="4" t="s">
        <v>149</v>
      </c>
      <c r="H36" s="4" t="s">
        <v>150</v>
      </c>
      <c r="I36" s="4" t="s">
        <v>39</v>
      </c>
      <c r="J36" s="4" t="s">
        <v>26</v>
      </c>
      <c r="K36" s="5">
        <v>6</v>
      </c>
      <c r="L36" s="4" t="s">
        <v>27</v>
      </c>
      <c r="M36" s="4" t="s">
        <v>153</v>
      </c>
      <c r="N36" s="4" t="s">
        <v>154</v>
      </c>
      <c r="O36" s="4">
        <v>17</v>
      </c>
      <c r="P36" s="4" t="s">
        <v>30</v>
      </c>
      <c r="Q36" s="4" t="s">
        <v>31</v>
      </c>
      <c r="R36" s="4" t="s">
        <v>35</v>
      </c>
      <c r="S36" s="9" t="s">
        <v>32</v>
      </c>
    </row>
    <row r="37" spans="1:19" ht="20.100000000000001" customHeight="1" x14ac:dyDescent="0.25">
      <c r="A37" s="7">
        <v>18</v>
      </c>
      <c r="B37" s="8">
        <v>46107</v>
      </c>
      <c r="C37" s="4">
        <f>WEEKNUM(Tabla132[[#This Row],[FECHA DE EMBARQUE]])</f>
        <v>13</v>
      </c>
      <c r="D37" s="4" t="s">
        <v>20</v>
      </c>
      <c r="E37" s="4" t="s">
        <v>21</v>
      </c>
      <c r="F37" s="4" t="s">
        <v>155</v>
      </c>
      <c r="G37" s="4" t="s">
        <v>156</v>
      </c>
      <c r="H37" s="4" t="s">
        <v>157</v>
      </c>
      <c r="I37" s="4" t="s">
        <v>158</v>
      </c>
      <c r="J37" s="4" t="s">
        <v>159</v>
      </c>
      <c r="K37" s="5">
        <v>6</v>
      </c>
      <c r="L37" s="4" t="s">
        <v>27</v>
      </c>
      <c r="M37" s="4" t="s">
        <v>160</v>
      </c>
      <c r="N37" s="4" t="s">
        <v>161</v>
      </c>
      <c r="O37" s="4">
        <v>2</v>
      </c>
      <c r="P37" s="4" t="s">
        <v>30</v>
      </c>
      <c r="Q37" s="4" t="s">
        <v>31</v>
      </c>
      <c r="R37" s="4" t="s">
        <v>35</v>
      </c>
      <c r="S37" s="9" t="s">
        <v>32</v>
      </c>
    </row>
    <row r="38" spans="1:19" ht="20.100000000000001" customHeight="1" x14ac:dyDescent="0.25">
      <c r="A38" s="7">
        <v>18</v>
      </c>
      <c r="B38" s="8">
        <v>46107</v>
      </c>
      <c r="C38" s="4">
        <f>WEEKNUM(Tabla132[[#This Row],[FECHA DE EMBARQUE]])</f>
        <v>13</v>
      </c>
      <c r="D38" s="4" t="s">
        <v>20</v>
      </c>
      <c r="E38" s="4" t="s">
        <v>21</v>
      </c>
      <c r="F38" s="4" t="s">
        <v>155</v>
      </c>
      <c r="G38" s="4" t="s">
        <v>156</v>
      </c>
      <c r="H38" s="4" t="s">
        <v>157</v>
      </c>
      <c r="I38" s="4" t="s">
        <v>158</v>
      </c>
      <c r="J38" s="4" t="s">
        <v>159</v>
      </c>
      <c r="K38" s="5">
        <v>6</v>
      </c>
      <c r="L38" s="4" t="s">
        <v>27</v>
      </c>
      <c r="M38" s="4" t="s">
        <v>162</v>
      </c>
      <c r="N38" s="4" t="s">
        <v>163</v>
      </c>
      <c r="O38" s="4">
        <v>17</v>
      </c>
      <c r="P38" s="4" t="s">
        <v>30</v>
      </c>
      <c r="Q38" s="4" t="s">
        <v>31</v>
      </c>
      <c r="R38" s="4" t="s">
        <v>35</v>
      </c>
      <c r="S38" s="9" t="s">
        <v>32</v>
      </c>
    </row>
    <row r="39" spans="1:19" ht="20.100000000000001" customHeight="1" x14ac:dyDescent="0.25">
      <c r="A39" s="7">
        <v>19</v>
      </c>
      <c r="B39" s="8">
        <v>46107</v>
      </c>
      <c r="C39" s="4">
        <f>WEEKNUM(Tabla132[[#This Row],[FECHA DE EMBARQUE]])</f>
        <v>13</v>
      </c>
      <c r="D39" s="4" t="s">
        <v>20</v>
      </c>
      <c r="E39" s="4" t="s">
        <v>21</v>
      </c>
      <c r="F39" s="4" t="s">
        <v>164</v>
      </c>
      <c r="G39" s="4" t="s">
        <v>165</v>
      </c>
      <c r="H39" s="4" t="s">
        <v>166</v>
      </c>
      <c r="I39" s="4" t="s">
        <v>94</v>
      </c>
      <c r="J39" s="4" t="s">
        <v>49</v>
      </c>
      <c r="K39" s="5">
        <v>6</v>
      </c>
      <c r="L39" s="4" t="s">
        <v>27</v>
      </c>
      <c r="M39" s="4" t="s">
        <v>167</v>
      </c>
      <c r="N39" s="4" t="s">
        <v>169</v>
      </c>
      <c r="O39" s="4">
        <v>2</v>
      </c>
      <c r="P39" s="4" t="s">
        <v>30</v>
      </c>
      <c r="Q39" s="4" t="s">
        <v>31</v>
      </c>
      <c r="R39" s="4" t="s">
        <v>35</v>
      </c>
      <c r="S39" s="9" t="s">
        <v>32</v>
      </c>
    </row>
    <row r="40" spans="1:19" ht="20.100000000000001" customHeight="1" x14ac:dyDescent="0.25">
      <c r="A40" s="7">
        <v>19</v>
      </c>
      <c r="B40" s="8">
        <v>46107</v>
      </c>
      <c r="C40" s="4">
        <f>WEEKNUM(Tabla132[[#This Row],[FECHA DE EMBARQUE]])</f>
        <v>13</v>
      </c>
      <c r="D40" s="4" t="s">
        <v>20</v>
      </c>
      <c r="E40" s="4" t="s">
        <v>21</v>
      </c>
      <c r="F40" s="4" t="s">
        <v>164</v>
      </c>
      <c r="G40" s="4" t="s">
        <v>165</v>
      </c>
      <c r="H40" s="4" t="s">
        <v>166</v>
      </c>
      <c r="I40" s="4" t="s">
        <v>94</v>
      </c>
      <c r="J40" s="4" t="s">
        <v>49</v>
      </c>
      <c r="K40" s="5">
        <v>6</v>
      </c>
      <c r="L40" s="4" t="s">
        <v>27</v>
      </c>
      <c r="M40" s="4" t="s">
        <v>168</v>
      </c>
      <c r="N40" s="4" t="s">
        <v>170</v>
      </c>
      <c r="O40" s="4">
        <v>17</v>
      </c>
      <c r="P40" s="4" t="s">
        <v>30</v>
      </c>
      <c r="Q40" s="4" t="s">
        <v>31</v>
      </c>
      <c r="R40" s="4" t="s">
        <v>35</v>
      </c>
      <c r="S40" s="9" t="s">
        <v>32</v>
      </c>
    </row>
    <row r="41" spans="1:19" ht="20.100000000000001" customHeight="1" x14ac:dyDescent="0.25">
      <c r="A41" s="7">
        <v>20</v>
      </c>
      <c r="B41" s="8">
        <v>46108</v>
      </c>
      <c r="C41" s="4">
        <f>WEEKNUM(Tabla132[[#This Row],[FECHA DE EMBARQUE]])</f>
        <v>13</v>
      </c>
      <c r="D41" s="4" t="s">
        <v>20</v>
      </c>
      <c r="E41" s="4" t="s">
        <v>21</v>
      </c>
      <c r="F41" s="4" t="s">
        <v>171</v>
      </c>
      <c r="G41" s="4" t="s">
        <v>172</v>
      </c>
      <c r="H41" s="4" t="s">
        <v>173</v>
      </c>
      <c r="I41" s="4" t="s">
        <v>174</v>
      </c>
      <c r="J41" s="4" t="s">
        <v>26</v>
      </c>
      <c r="K41" s="5">
        <v>6</v>
      </c>
      <c r="L41" s="4" t="s">
        <v>27</v>
      </c>
      <c r="M41" s="4" t="s">
        <v>175</v>
      </c>
      <c r="N41" s="4" t="s">
        <v>177</v>
      </c>
      <c r="O41" s="4">
        <v>2</v>
      </c>
      <c r="P41" s="4" t="s">
        <v>30</v>
      </c>
      <c r="Q41" s="4" t="s">
        <v>31</v>
      </c>
      <c r="R41" s="4" t="s">
        <v>35</v>
      </c>
      <c r="S41" s="9" t="s">
        <v>32</v>
      </c>
    </row>
    <row r="42" spans="1:19" ht="20.100000000000001" customHeight="1" x14ac:dyDescent="0.25">
      <c r="A42" s="7">
        <v>20</v>
      </c>
      <c r="B42" s="8">
        <v>46108</v>
      </c>
      <c r="C42" s="4">
        <f>WEEKNUM(Tabla132[[#This Row],[FECHA DE EMBARQUE]])</f>
        <v>13</v>
      </c>
      <c r="D42" s="4" t="s">
        <v>20</v>
      </c>
      <c r="E42" s="4" t="s">
        <v>21</v>
      </c>
      <c r="F42" s="4" t="s">
        <v>171</v>
      </c>
      <c r="G42" s="4" t="s">
        <v>172</v>
      </c>
      <c r="H42" s="4" t="s">
        <v>173</v>
      </c>
      <c r="I42" s="4" t="s">
        <v>174</v>
      </c>
      <c r="J42" s="4" t="s">
        <v>26</v>
      </c>
      <c r="K42" s="5">
        <v>6</v>
      </c>
      <c r="L42" s="4" t="s">
        <v>27</v>
      </c>
      <c r="M42" s="4" t="s">
        <v>176</v>
      </c>
      <c r="N42" s="4" t="s">
        <v>178</v>
      </c>
      <c r="O42" s="4">
        <v>19</v>
      </c>
      <c r="P42" s="4" t="s">
        <v>30</v>
      </c>
      <c r="Q42" s="4" t="s">
        <v>31</v>
      </c>
      <c r="R42" s="4" t="s">
        <v>35</v>
      </c>
      <c r="S42" s="9" t="s">
        <v>32</v>
      </c>
    </row>
    <row r="43" spans="1:19" ht="20.100000000000001" customHeight="1" x14ac:dyDescent="0.25">
      <c r="A43" s="7">
        <v>21</v>
      </c>
      <c r="B43" s="8">
        <v>46108</v>
      </c>
      <c r="C43" s="4">
        <f>WEEKNUM(Tabla132[[#This Row],[FECHA DE EMBARQUE]])</f>
        <v>13</v>
      </c>
      <c r="D43" s="4" t="s">
        <v>20</v>
      </c>
      <c r="E43" s="4" t="s">
        <v>21</v>
      </c>
      <c r="F43" s="4" t="s">
        <v>179</v>
      </c>
      <c r="G43" s="4" t="s">
        <v>180</v>
      </c>
      <c r="H43" s="4" t="s">
        <v>181</v>
      </c>
      <c r="I43" s="4" t="s">
        <v>134</v>
      </c>
      <c r="J43" s="4" t="s">
        <v>49</v>
      </c>
      <c r="K43" s="5">
        <v>6</v>
      </c>
      <c r="L43" s="4" t="s">
        <v>27</v>
      </c>
      <c r="M43" s="4" t="s">
        <v>182</v>
      </c>
      <c r="N43" s="4" t="s">
        <v>183</v>
      </c>
      <c r="O43" s="4">
        <v>2</v>
      </c>
      <c r="P43" s="4" t="s">
        <v>30</v>
      </c>
      <c r="Q43" s="4" t="s">
        <v>31</v>
      </c>
      <c r="R43" s="4" t="s">
        <v>35</v>
      </c>
      <c r="S43" s="9" t="s">
        <v>32</v>
      </c>
    </row>
    <row r="44" spans="1:19" ht="20.100000000000001" customHeight="1" x14ac:dyDescent="0.25">
      <c r="A44" s="7">
        <v>21</v>
      </c>
      <c r="B44" s="8">
        <v>46108</v>
      </c>
      <c r="C44" s="4">
        <f>WEEKNUM(Tabla132[[#This Row],[FECHA DE EMBARQUE]])</f>
        <v>13</v>
      </c>
      <c r="D44" s="4" t="s">
        <v>20</v>
      </c>
      <c r="E44" s="4" t="s">
        <v>21</v>
      </c>
      <c r="F44" s="4" t="s">
        <v>179</v>
      </c>
      <c r="G44" s="4" t="s">
        <v>180</v>
      </c>
      <c r="H44" s="4" t="s">
        <v>181</v>
      </c>
      <c r="I44" s="4" t="s">
        <v>134</v>
      </c>
      <c r="J44" s="4" t="s">
        <v>49</v>
      </c>
      <c r="K44" s="5">
        <v>6</v>
      </c>
      <c r="L44" s="4" t="s">
        <v>27</v>
      </c>
      <c r="M44" s="4" t="s">
        <v>184</v>
      </c>
      <c r="N44" s="4" t="s">
        <v>185</v>
      </c>
      <c r="O44" s="4">
        <v>17</v>
      </c>
      <c r="P44" s="4" t="s">
        <v>30</v>
      </c>
      <c r="Q44" s="4" t="s">
        <v>31</v>
      </c>
      <c r="R44" s="4" t="s">
        <v>35</v>
      </c>
      <c r="S44" s="9" t="s">
        <v>32</v>
      </c>
    </row>
    <row r="45" spans="1:19" ht="20.100000000000001" customHeight="1" x14ac:dyDescent="0.25">
      <c r="A45" s="7">
        <v>22</v>
      </c>
      <c r="B45" s="8">
        <v>46109</v>
      </c>
      <c r="C45" s="4">
        <f>WEEKNUM(Tabla132[[#This Row],[FECHA DE EMBARQUE]])</f>
        <v>13</v>
      </c>
      <c r="D45" s="4" t="s">
        <v>20</v>
      </c>
      <c r="E45" s="4" t="s">
        <v>21</v>
      </c>
      <c r="F45" s="4" t="s">
        <v>186</v>
      </c>
      <c r="G45" s="4" t="s">
        <v>187</v>
      </c>
      <c r="H45" s="4" t="s">
        <v>188</v>
      </c>
      <c r="I45" s="4" t="s">
        <v>94</v>
      </c>
      <c r="J45" s="4" t="s">
        <v>26</v>
      </c>
      <c r="K45" s="5">
        <v>6</v>
      </c>
      <c r="L45" s="4" t="s">
        <v>27</v>
      </c>
      <c r="M45" s="4" t="s">
        <v>189</v>
      </c>
      <c r="N45" s="4" t="s">
        <v>191</v>
      </c>
      <c r="O45" s="4">
        <v>2</v>
      </c>
      <c r="P45" s="4" t="s">
        <v>30</v>
      </c>
      <c r="Q45" s="4" t="s">
        <v>31</v>
      </c>
      <c r="R45" s="4" t="s">
        <v>35</v>
      </c>
      <c r="S45" s="9" t="s">
        <v>32</v>
      </c>
    </row>
    <row r="46" spans="1:19" ht="20.100000000000001" customHeight="1" x14ac:dyDescent="0.25">
      <c r="A46" s="7">
        <v>22</v>
      </c>
      <c r="B46" s="8">
        <v>46109</v>
      </c>
      <c r="C46" s="4">
        <f>WEEKNUM(Tabla132[[#This Row],[FECHA DE EMBARQUE]])</f>
        <v>13</v>
      </c>
      <c r="D46" s="4" t="s">
        <v>20</v>
      </c>
      <c r="E46" s="4" t="s">
        <v>21</v>
      </c>
      <c r="F46" s="4" t="s">
        <v>186</v>
      </c>
      <c r="G46" s="4" t="s">
        <v>187</v>
      </c>
      <c r="H46" s="4" t="s">
        <v>188</v>
      </c>
      <c r="I46" s="4" t="s">
        <v>94</v>
      </c>
      <c r="J46" s="4" t="s">
        <v>26</v>
      </c>
      <c r="K46" s="5">
        <v>6</v>
      </c>
      <c r="L46" s="4" t="s">
        <v>27</v>
      </c>
      <c r="M46" s="4" t="s">
        <v>190</v>
      </c>
      <c r="N46" s="4" t="s">
        <v>192</v>
      </c>
      <c r="O46" s="4">
        <v>17</v>
      </c>
      <c r="P46" s="4" t="s">
        <v>30</v>
      </c>
      <c r="Q46" s="4" t="s">
        <v>31</v>
      </c>
      <c r="R46" s="4" t="s">
        <v>35</v>
      </c>
      <c r="S46" s="9" t="s">
        <v>32</v>
      </c>
    </row>
    <row r="47" spans="1:19" ht="20.100000000000001" customHeight="1" x14ac:dyDescent="0.25">
      <c r="A47" s="7">
        <v>23</v>
      </c>
      <c r="B47" s="8">
        <v>46109</v>
      </c>
      <c r="C47" s="4">
        <f>WEEKNUM(Tabla132[[#This Row],[FECHA DE EMBARQUE]])</f>
        <v>13</v>
      </c>
      <c r="D47" s="4" t="s">
        <v>20</v>
      </c>
      <c r="E47" s="4" t="s">
        <v>21</v>
      </c>
      <c r="F47" s="4" t="s">
        <v>193</v>
      </c>
      <c r="G47" s="4" t="s">
        <v>194</v>
      </c>
      <c r="H47" s="4" t="s">
        <v>195</v>
      </c>
      <c r="I47" s="4" t="s">
        <v>94</v>
      </c>
      <c r="J47" s="4" t="s">
        <v>26</v>
      </c>
      <c r="K47" s="5">
        <v>6</v>
      </c>
      <c r="L47" s="4" t="s">
        <v>27</v>
      </c>
      <c r="M47" s="4" t="s">
        <v>196</v>
      </c>
      <c r="N47" s="4" t="s">
        <v>197</v>
      </c>
      <c r="O47" s="4">
        <v>2</v>
      </c>
      <c r="P47" s="4" t="s">
        <v>30</v>
      </c>
      <c r="Q47" s="4" t="s">
        <v>31</v>
      </c>
      <c r="R47" s="4" t="s">
        <v>35</v>
      </c>
      <c r="S47" s="9" t="s">
        <v>32</v>
      </c>
    </row>
    <row r="48" spans="1:19" ht="20.100000000000001" customHeight="1" x14ac:dyDescent="0.25">
      <c r="A48" s="7">
        <v>23</v>
      </c>
      <c r="B48" s="8">
        <v>46109</v>
      </c>
      <c r="C48" s="4">
        <f>WEEKNUM(Tabla132[[#This Row],[FECHA DE EMBARQUE]])</f>
        <v>13</v>
      </c>
      <c r="D48" s="4" t="s">
        <v>20</v>
      </c>
      <c r="E48" s="4" t="s">
        <v>21</v>
      </c>
      <c r="F48" s="4" t="s">
        <v>193</v>
      </c>
      <c r="G48" s="4" t="s">
        <v>194</v>
      </c>
      <c r="H48" s="4" t="s">
        <v>195</v>
      </c>
      <c r="I48" s="4" t="s">
        <v>94</v>
      </c>
      <c r="J48" s="4" t="s">
        <v>26</v>
      </c>
      <c r="K48" s="5">
        <v>6</v>
      </c>
      <c r="L48" s="4" t="s">
        <v>27</v>
      </c>
      <c r="M48" s="4" t="s">
        <v>198</v>
      </c>
      <c r="N48" s="4" t="s">
        <v>199</v>
      </c>
      <c r="O48" s="4">
        <v>17</v>
      </c>
      <c r="P48" s="4" t="s">
        <v>30</v>
      </c>
      <c r="Q48" s="4" t="s">
        <v>31</v>
      </c>
      <c r="R48" s="4" t="s">
        <v>35</v>
      </c>
      <c r="S48" s="9" t="s">
        <v>32</v>
      </c>
    </row>
    <row r="49" spans="1:19" ht="20.100000000000001" customHeight="1" x14ac:dyDescent="0.25">
      <c r="A49" s="7">
        <v>24</v>
      </c>
      <c r="B49" s="8">
        <v>46109</v>
      </c>
      <c r="C49" s="4">
        <f>WEEKNUM(Tabla132[[#This Row],[FECHA DE EMBARQUE]])</f>
        <v>13</v>
      </c>
      <c r="D49" s="4" t="s">
        <v>20</v>
      </c>
      <c r="E49" s="4" t="s">
        <v>21</v>
      </c>
      <c r="F49" s="4" t="s">
        <v>200</v>
      </c>
      <c r="G49" s="4" t="s">
        <v>201</v>
      </c>
      <c r="H49" s="4" t="s">
        <v>202</v>
      </c>
      <c r="I49" s="4" t="s">
        <v>39</v>
      </c>
      <c r="J49" s="4" t="s">
        <v>26</v>
      </c>
      <c r="K49" s="5">
        <v>6</v>
      </c>
      <c r="L49" s="4" t="s">
        <v>27</v>
      </c>
      <c r="M49" s="4" t="s">
        <v>203</v>
      </c>
      <c r="N49" s="4" t="s">
        <v>205</v>
      </c>
      <c r="O49" s="4">
        <v>2</v>
      </c>
      <c r="P49" s="4" t="s">
        <v>30</v>
      </c>
      <c r="Q49" s="4" t="s">
        <v>31</v>
      </c>
      <c r="R49" s="4" t="s">
        <v>35</v>
      </c>
      <c r="S49" s="9" t="s">
        <v>32</v>
      </c>
    </row>
    <row r="50" spans="1:19" ht="20.100000000000001" customHeight="1" x14ac:dyDescent="0.25">
      <c r="A50" s="7">
        <v>24</v>
      </c>
      <c r="B50" s="8">
        <v>46109</v>
      </c>
      <c r="C50" s="4">
        <f>WEEKNUM(Tabla132[[#This Row],[FECHA DE EMBARQUE]])</f>
        <v>13</v>
      </c>
      <c r="D50" s="4" t="s">
        <v>20</v>
      </c>
      <c r="E50" s="4" t="s">
        <v>21</v>
      </c>
      <c r="F50" s="4" t="s">
        <v>200</v>
      </c>
      <c r="G50" s="4" t="s">
        <v>201</v>
      </c>
      <c r="H50" s="4" t="s">
        <v>202</v>
      </c>
      <c r="I50" s="4" t="s">
        <v>39</v>
      </c>
      <c r="J50" s="4" t="s">
        <v>26</v>
      </c>
      <c r="K50" s="5">
        <v>6</v>
      </c>
      <c r="L50" s="4" t="s">
        <v>27</v>
      </c>
      <c r="M50" s="4" t="s">
        <v>204</v>
      </c>
      <c r="N50" s="4" t="s">
        <v>206</v>
      </c>
      <c r="O50" s="4">
        <v>17</v>
      </c>
      <c r="P50" s="4" t="s">
        <v>30</v>
      </c>
      <c r="Q50" s="4" t="s">
        <v>31</v>
      </c>
      <c r="R50" s="4" t="s">
        <v>35</v>
      </c>
      <c r="S50" s="9" t="s">
        <v>32</v>
      </c>
    </row>
    <row r="51" spans="1:19" ht="20.100000000000001" customHeight="1" x14ac:dyDescent="0.25">
      <c r="A51" s="7">
        <v>25</v>
      </c>
      <c r="B51" s="8">
        <v>46109</v>
      </c>
      <c r="C51" s="4">
        <f>WEEKNUM(Tabla132[[#This Row],[FECHA DE EMBARQUE]])</f>
        <v>13</v>
      </c>
      <c r="D51" s="4" t="s">
        <v>20</v>
      </c>
      <c r="E51" s="4" t="s">
        <v>21</v>
      </c>
      <c r="F51" s="4" t="s">
        <v>207</v>
      </c>
      <c r="G51" s="4" t="s">
        <v>208</v>
      </c>
      <c r="H51" s="4" t="s">
        <v>209</v>
      </c>
      <c r="I51" s="4" t="s">
        <v>25</v>
      </c>
      <c r="J51" s="4" t="s">
        <v>26</v>
      </c>
      <c r="K51" s="5">
        <v>6</v>
      </c>
      <c r="L51" s="4" t="s">
        <v>27</v>
      </c>
      <c r="M51" s="4" t="s">
        <v>210</v>
      </c>
      <c r="N51" s="4" t="s">
        <v>212</v>
      </c>
      <c r="O51" s="4">
        <v>2</v>
      </c>
      <c r="P51" s="4" t="s">
        <v>30</v>
      </c>
      <c r="Q51" s="4" t="s">
        <v>31</v>
      </c>
      <c r="R51" s="4" t="s">
        <v>35</v>
      </c>
      <c r="S51" s="9" t="s">
        <v>41</v>
      </c>
    </row>
    <row r="52" spans="1:19" ht="20.100000000000001" customHeight="1" x14ac:dyDescent="0.25">
      <c r="A52" s="7">
        <v>25</v>
      </c>
      <c r="B52" s="8">
        <v>46109</v>
      </c>
      <c r="C52" s="4">
        <f>WEEKNUM(Tabla132[[#This Row],[FECHA DE EMBARQUE]])</f>
        <v>13</v>
      </c>
      <c r="D52" s="4" t="s">
        <v>20</v>
      </c>
      <c r="E52" s="4" t="s">
        <v>21</v>
      </c>
      <c r="F52" s="4" t="s">
        <v>207</v>
      </c>
      <c r="G52" s="4" t="s">
        <v>208</v>
      </c>
      <c r="H52" s="4" t="s">
        <v>209</v>
      </c>
      <c r="I52" s="4" t="s">
        <v>25</v>
      </c>
      <c r="J52" s="4" t="s">
        <v>26</v>
      </c>
      <c r="K52" s="5">
        <v>6</v>
      </c>
      <c r="L52" s="4" t="s">
        <v>27</v>
      </c>
      <c r="M52" s="4" t="s">
        <v>211</v>
      </c>
      <c r="N52" s="4" t="s">
        <v>213</v>
      </c>
      <c r="O52" s="4">
        <v>19</v>
      </c>
      <c r="P52" s="4" t="s">
        <v>30</v>
      </c>
      <c r="Q52" s="4" t="s">
        <v>31</v>
      </c>
      <c r="R52" s="4" t="s">
        <v>35</v>
      </c>
      <c r="S52" s="9" t="s">
        <v>41</v>
      </c>
    </row>
    <row r="53" spans="1:19" ht="20.100000000000001" customHeight="1" x14ac:dyDescent="0.25">
      <c r="A53" s="7">
        <v>26</v>
      </c>
      <c r="B53" s="8">
        <v>46109</v>
      </c>
      <c r="C53" s="4">
        <f>WEEKNUM(Tabla132[[#This Row],[FECHA DE EMBARQUE]])</f>
        <v>13</v>
      </c>
      <c r="D53" s="4" t="s">
        <v>20</v>
      </c>
      <c r="E53" s="4" t="s">
        <v>21</v>
      </c>
      <c r="F53" s="4" t="s">
        <v>214</v>
      </c>
      <c r="G53" s="4" t="s">
        <v>215</v>
      </c>
      <c r="H53" s="4">
        <v>268551957</v>
      </c>
      <c r="I53" s="4" t="s">
        <v>174</v>
      </c>
      <c r="J53" s="4" t="s">
        <v>26</v>
      </c>
      <c r="K53" s="5">
        <v>6</v>
      </c>
      <c r="L53" s="4" t="s">
        <v>27</v>
      </c>
      <c r="M53" s="4" t="s">
        <v>216</v>
      </c>
      <c r="N53" s="4" t="s">
        <v>217</v>
      </c>
      <c r="O53" s="4">
        <v>2</v>
      </c>
      <c r="P53" s="4" t="s">
        <v>30</v>
      </c>
      <c r="Q53" s="4" t="s">
        <v>31</v>
      </c>
      <c r="R53" s="4" t="s">
        <v>35</v>
      </c>
      <c r="S53" s="9" t="s">
        <v>32</v>
      </c>
    </row>
    <row r="54" spans="1:19" ht="20.100000000000001" customHeight="1" x14ac:dyDescent="0.25">
      <c r="A54" s="7">
        <v>26</v>
      </c>
      <c r="B54" s="8">
        <v>46109</v>
      </c>
      <c r="C54" s="4">
        <f>WEEKNUM(Tabla132[[#This Row],[FECHA DE EMBARQUE]])</f>
        <v>13</v>
      </c>
      <c r="D54" s="4" t="s">
        <v>20</v>
      </c>
      <c r="E54" s="4" t="s">
        <v>21</v>
      </c>
      <c r="F54" s="4" t="s">
        <v>214</v>
      </c>
      <c r="G54" s="4" t="s">
        <v>215</v>
      </c>
      <c r="H54" s="4">
        <v>268551957</v>
      </c>
      <c r="I54" s="4" t="s">
        <v>174</v>
      </c>
      <c r="J54" s="4" t="s">
        <v>26</v>
      </c>
      <c r="K54" s="5">
        <v>6</v>
      </c>
      <c r="L54" s="4" t="s">
        <v>27</v>
      </c>
      <c r="M54" s="4" t="s">
        <v>218</v>
      </c>
      <c r="N54" s="4" t="s">
        <v>219</v>
      </c>
      <c r="O54" s="4">
        <v>19</v>
      </c>
      <c r="P54" s="4" t="s">
        <v>30</v>
      </c>
      <c r="Q54" s="4" t="s">
        <v>31</v>
      </c>
      <c r="R54" s="4" t="s">
        <v>35</v>
      </c>
      <c r="S54" s="9" t="s">
        <v>32</v>
      </c>
    </row>
    <row r="55" spans="1:19" ht="20.100000000000001" customHeight="1" x14ac:dyDescent="0.25">
      <c r="A55" s="7">
        <v>27</v>
      </c>
      <c r="B55" s="8">
        <v>46109</v>
      </c>
      <c r="C55" s="4">
        <f>WEEKNUM(Tabla132[[#This Row],[FECHA DE EMBARQUE]])</f>
        <v>13</v>
      </c>
      <c r="D55" s="4" t="s">
        <v>20</v>
      </c>
      <c r="E55" s="4" t="s">
        <v>21</v>
      </c>
      <c r="F55" s="4" t="s">
        <v>220</v>
      </c>
      <c r="G55" s="4" t="s">
        <v>221</v>
      </c>
      <c r="H55" s="4" t="s">
        <v>222</v>
      </c>
      <c r="I55" s="4" t="s">
        <v>94</v>
      </c>
      <c r="J55" s="4" t="s">
        <v>26</v>
      </c>
      <c r="K55" s="5">
        <v>6</v>
      </c>
      <c r="L55" s="4" t="s">
        <v>27</v>
      </c>
      <c r="M55" s="4" t="s">
        <v>225</v>
      </c>
      <c r="N55" s="4" t="s">
        <v>227</v>
      </c>
      <c r="O55" s="4">
        <v>1</v>
      </c>
      <c r="P55" s="4" t="s">
        <v>30</v>
      </c>
      <c r="Q55" s="4" t="s">
        <v>223</v>
      </c>
      <c r="R55" s="4" t="s">
        <v>35</v>
      </c>
      <c r="S55" s="9" t="s">
        <v>224</v>
      </c>
    </row>
    <row r="56" spans="1:19" ht="20.100000000000001" customHeight="1" x14ac:dyDescent="0.25">
      <c r="A56" s="7">
        <v>27</v>
      </c>
      <c r="B56" s="8">
        <v>46109</v>
      </c>
      <c r="C56" s="4">
        <f>WEEKNUM(Tabla132[[#This Row],[FECHA DE EMBARQUE]])</f>
        <v>13</v>
      </c>
      <c r="D56" s="4" t="s">
        <v>20</v>
      </c>
      <c r="E56" s="4" t="s">
        <v>21</v>
      </c>
      <c r="F56" s="4" t="s">
        <v>220</v>
      </c>
      <c r="G56" s="4" t="s">
        <v>221</v>
      </c>
      <c r="H56" s="4" t="s">
        <v>222</v>
      </c>
      <c r="I56" s="4" t="s">
        <v>94</v>
      </c>
      <c r="J56" s="4" t="s">
        <v>26</v>
      </c>
      <c r="K56" s="5">
        <v>6</v>
      </c>
      <c r="L56" s="4" t="s">
        <v>27</v>
      </c>
      <c r="M56" s="4" t="s">
        <v>226</v>
      </c>
      <c r="N56" s="4" t="s">
        <v>228</v>
      </c>
      <c r="O56" s="4">
        <v>19</v>
      </c>
      <c r="P56" s="4" t="s">
        <v>30</v>
      </c>
      <c r="Q56" s="4" t="s">
        <v>223</v>
      </c>
      <c r="R56" s="4" t="s">
        <v>35</v>
      </c>
      <c r="S56" s="9" t="s">
        <v>224</v>
      </c>
    </row>
    <row r="57" spans="1:19" ht="20.100000000000001" customHeight="1" x14ac:dyDescent="0.25">
      <c r="A57" s="7">
        <v>28</v>
      </c>
      <c r="B57" s="8">
        <v>46109</v>
      </c>
      <c r="C57" s="4">
        <f>WEEKNUM(Tabla132[[#This Row],[FECHA DE EMBARQUE]])</f>
        <v>13</v>
      </c>
      <c r="D57" s="4" t="s">
        <v>20</v>
      </c>
      <c r="E57" s="4" t="s">
        <v>21</v>
      </c>
      <c r="F57" s="4" t="s">
        <v>229</v>
      </c>
      <c r="G57" s="4" t="s">
        <v>230</v>
      </c>
      <c r="H57" s="4" t="s">
        <v>231</v>
      </c>
      <c r="I57" s="4" t="s">
        <v>94</v>
      </c>
      <c r="J57" s="4" t="s">
        <v>49</v>
      </c>
      <c r="K57" s="5">
        <v>6</v>
      </c>
      <c r="L57" s="4" t="s">
        <v>27</v>
      </c>
      <c r="M57" s="4" t="s">
        <v>232</v>
      </c>
      <c r="N57" s="4" t="s">
        <v>233</v>
      </c>
      <c r="O57" s="4">
        <v>1</v>
      </c>
      <c r="P57" s="4" t="s">
        <v>30</v>
      </c>
      <c r="Q57" s="4" t="s">
        <v>31</v>
      </c>
      <c r="R57" s="4" t="s">
        <v>35</v>
      </c>
      <c r="S57" s="9" t="s">
        <v>32</v>
      </c>
    </row>
    <row r="58" spans="1:19" ht="20.100000000000001" customHeight="1" x14ac:dyDescent="0.25">
      <c r="A58" s="7">
        <v>28</v>
      </c>
      <c r="B58" s="8">
        <v>46109</v>
      </c>
      <c r="C58" s="4">
        <f>WEEKNUM(Tabla132[[#This Row],[FECHA DE EMBARQUE]])</f>
        <v>13</v>
      </c>
      <c r="D58" s="4" t="s">
        <v>20</v>
      </c>
      <c r="E58" s="4" t="s">
        <v>21</v>
      </c>
      <c r="F58" s="4" t="s">
        <v>229</v>
      </c>
      <c r="G58" s="4" t="s">
        <v>230</v>
      </c>
      <c r="H58" s="4" t="s">
        <v>231</v>
      </c>
      <c r="I58" s="4" t="s">
        <v>94</v>
      </c>
      <c r="J58" s="4" t="s">
        <v>49</v>
      </c>
      <c r="K58" s="5">
        <v>6</v>
      </c>
      <c r="L58" s="4" t="s">
        <v>27</v>
      </c>
      <c r="M58" s="4" t="s">
        <v>234</v>
      </c>
      <c r="N58" s="4" t="s">
        <v>235</v>
      </c>
      <c r="O58" s="4">
        <v>17</v>
      </c>
      <c r="P58" s="4" t="s">
        <v>30</v>
      </c>
      <c r="Q58" s="4" t="s">
        <v>31</v>
      </c>
      <c r="R58" s="4" t="s">
        <v>35</v>
      </c>
      <c r="S58" s="9" t="s">
        <v>32</v>
      </c>
    </row>
    <row r="59" spans="1:19" ht="20.100000000000001" customHeight="1" x14ac:dyDescent="0.25">
      <c r="A59" s="13">
        <v>29</v>
      </c>
      <c r="B59" s="11">
        <v>46112</v>
      </c>
      <c r="C59" s="14">
        <f>WEEKNUM(Tabla132[[#This Row],[FECHA DE EMBARQUE]])</f>
        <v>14</v>
      </c>
      <c r="D59" s="12" t="s">
        <v>20</v>
      </c>
      <c r="E59" s="12" t="s">
        <v>21</v>
      </c>
      <c r="F59" s="12" t="s">
        <v>236</v>
      </c>
      <c r="G59" s="12" t="s">
        <v>237</v>
      </c>
      <c r="H59" s="4">
        <v>268810429</v>
      </c>
      <c r="I59" s="12" t="s">
        <v>112</v>
      </c>
      <c r="J59" s="12" t="s">
        <v>26</v>
      </c>
      <c r="K59" s="5">
        <v>6</v>
      </c>
      <c r="L59" s="12" t="s">
        <v>27</v>
      </c>
      <c r="M59" s="12" t="s">
        <v>238</v>
      </c>
      <c r="N59" s="12" t="s">
        <v>239</v>
      </c>
      <c r="O59" s="12">
        <v>2</v>
      </c>
      <c r="P59" s="12" t="s">
        <v>30</v>
      </c>
      <c r="Q59" s="4" t="s">
        <v>31</v>
      </c>
      <c r="R59" s="12" t="s">
        <v>35</v>
      </c>
      <c r="S59" s="15" t="s">
        <v>32</v>
      </c>
    </row>
    <row r="60" spans="1:19" ht="20.100000000000001" customHeight="1" x14ac:dyDescent="0.25">
      <c r="A60" s="13">
        <v>29</v>
      </c>
      <c r="B60" s="11">
        <v>46112</v>
      </c>
      <c r="C60" s="14">
        <f>WEEKNUM(Tabla132[[#This Row],[FECHA DE EMBARQUE]])</f>
        <v>14</v>
      </c>
      <c r="D60" s="12" t="s">
        <v>20</v>
      </c>
      <c r="E60" s="12" t="s">
        <v>21</v>
      </c>
      <c r="F60" s="12" t="s">
        <v>236</v>
      </c>
      <c r="G60" s="12" t="s">
        <v>237</v>
      </c>
      <c r="H60" s="4">
        <v>268810429</v>
      </c>
      <c r="I60" s="12" t="s">
        <v>112</v>
      </c>
      <c r="J60" s="12" t="s">
        <v>26</v>
      </c>
      <c r="K60" s="5">
        <v>6</v>
      </c>
      <c r="L60" s="12" t="s">
        <v>27</v>
      </c>
      <c r="M60" s="12" t="s">
        <v>240</v>
      </c>
      <c r="N60" s="12" t="s">
        <v>241</v>
      </c>
      <c r="O60" s="12">
        <v>17</v>
      </c>
      <c r="P60" s="12" t="s">
        <v>30</v>
      </c>
      <c r="Q60" s="4" t="s">
        <v>31</v>
      </c>
      <c r="R60" s="12" t="s">
        <v>35</v>
      </c>
      <c r="S60" s="15" t="s">
        <v>32</v>
      </c>
    </row>
    <row r="61" spans="1:19" ht="20.100000000000001" customHeight="1" x14ac:dyDescent="0.25">
      <c r="A61" s="13">
        <v>30</v>
      </c>
      <c r="B61" s="11">
        <v>46112</v>
      </c>
      <c r="C61" s="14">
        <f>WEEKNUM(Tabla132[[#This Row],[FECHA DE EMBARQUE]])</f>
        <v>14</v>
      </c>
      <c r="D61" s="12" t="s">
        <v>20</v>
      </c>
      <c r="E61" s="12" t="s">
        <v>21</v>
      </c>
      <c r="F61" s="12" t="s">
        <v>242</v>
      </c>
      <c r="G61" s="12" t="s">
        <v>243</v>
      </c>
      <c r="H61" s="4">
        <v>268551305</v>
      </c>
      <c r="I61" s="12" t="s">
        <v>25</v>
      </c>
      <c r="J61" s="12" t="s">
        <v>26</v>
      </c>
      <c r="K61" s="5">
        <v>6</v>
      </c>
      <c r="L61" s="12" t="s">
        <v>27</v>
      </c>
      <c r="M61" s="12" t="s">
        <v>244</v>
      </c>
      <c r="N61" s="12" t="s">
        <v>245</v>
      </c>
      <c r="O61" s="12">
        <v>2</v>
      </c>
      <c r="P61" s="12" t="s">
        <v>30</v>
      </c>
      <c r="Q61" s="4" t="s">
        <v>31</v>
      </c>
      <c r="R61" s="12" t="s">
        <v>35</v>
      </c>
      <c r="S61" s="9" t="s">
        <v>41</v>
      </c>
    </row>
    <row r="62" spans="1:19" ht="20.100000000000001" customHeight="1" x14ac:dyDescent="0.25">
      <c r="A62" s="13">
        <v>30</v>
      </c>
      <c r="B62" s="11">
        <v>46112</v>
      </c>
      <c r="C62" s="14">
        <f>WEEKNUM(Tabla132[[#This Row],[FECHA DE EMBARQUE]])</f>
        <v>14</v>
      </c>
      <c r="D62" s="12" t="s">
        <v>20</v>
      </c>
      <c r="E62" s="12" t="s">
        <v>21</v>
      </c>
      <c r="F62" s="12" t="s">
        <v>242</v>
      </c>
      <c r="G62" s="12" t="s">
        <v>243</v>
      </c>
      <c r="H62" s="4">
        <v>268551305</v>
      </c>
      <c r="I62" s="12" t="s">
        <v>25</v>
      </c>
      <c r="J62" s="12" t="s">
        <v>26</v>
      </c>
      <c r="K62" s="5">
        <v>6</v>
      </c>
      <c r="L62" s="12" t="s">
        <v>27</v>
      </c>
      <c r="M62" s="12" t="s">
        <v>246</v>
      </c>
      <c r="N62" s="12" t="s">
        <v>247</v>
      </c>
      <c r="O62" s="12">
        <v>19</v>
      </c>
      <c r="P62" s="12" t="s">
        <v>30</v>
      </c>
      <c r="Q62" s="4" t="s">
        <v>31</v>
      </c>
      <c r="R62" s="12" t="s">
        <v>35</v>
      </c>
      <c r="S62" s="9" t="s">
        <v>41</v>
      </c>
    </row>
    <row r="63" spans="1:19" ht="20.100000000000001" customHeight="1" x14ac:dyDescent="0.25">
      <c r="A63" s="13">
        <v>31</v>
      </c>
      <c r="B63" s="11">
        <v>46112</v>
      </c>
      <c r="C63" s="14">
        <f>WEEKNUM(Tabla132[[#This Row],[FECHA DE EMBARQUE]])</f>
        <v>14</v>
      </c>
      <c r="D63" s="12" t="s">
        <v>20</v>
      </c>
      <c r="E63" s="12" t="s">
        <v>21</v>
      </c>
      <c r="F63" s="12" t="s">
        <v>248</v>
      </c>
      <c r="G63" s="12" t="s">
        <v>249</v>
      </c>
      <c r="H63" s="12">
        <v>268810510</v>
      </c>
      <c r="I63" s="12" t="s">
        <v>94</v>
      </c>
      <c r="J63" s="12" t="s">
        <v>26</v>
      </c>
      <c r="K63" s="5">
        <v>6</v>
      </c>
      <c r="L63" s="12" t="s">
        <v>27</v>
      </c>
      <c r="M63" s="12" t="s">
        <v>250</v>
      </c>
      <c r="N63" s="12" t="s">
        <v>251</v>
      </c>
      <c r="O63" s="12">
        <v>2</v>
      </c>
      <c r="P63" s="12" t="s">
        <v>30</v>
      </c>
      <c r="Q63" s="4" t="s">
        <v>31</v>
      </c>
      <c r="R63" s="4" t="s">
        <v>35</v>
      </c>
      <c r="S63" s="9" t="s">
        <v>32</v>
      </c>
    </row>
    <row r="64" spans="1:19" ht="20.100000000000001" customHeight="1" x14ac:dyDescent="0.25">
      <c r="A64" s="13">
        <v>31</v>
      </c>
      <c r="B64" s="11">
        <v>46112</v>
      </c>
      <c r="C64" s="14">
        <f>WEEKNUM(Tabla132[[#This Row],[FECHA DE EMBARQUE]])</f>
        <v>14</v>
      </c>
      <c r="D64" s="12" t="s">
        <v>20</v>
      </c>
      <c r="E64" s="12" t="s">
        <v>21</v>
      </c>
      <c r="F64" s="12" t="s">
        <v>248</v>
      </c>
      <c r="G64" s="12" t="s">
        <v>249</v>
      </c>
      <c r="H64" s="12">
        <v>268810510</v>
      </c>
      <c r="I64" s="12" t="s">
        <v>94</v>
      </c>
      <c r="J64" s="12" t="s">
        <v>26</v>
      </c>
      <c r="K64" s="5">
        <v>6</v>
      </c>
      <c r="L64" s="12" t="s">
        <v>27</v>
      </c>
      <c r="M64" s="12" t="s">
        <v>253</v>
      </c>
      <c r="N64" s="12" t="s">
        <v>252</v>
      </c>
      <c r="O64" s="12">
        <v>17</v>
      </c>
      <c r="P64" s="12" t="s">
        <v>30</v>
      </c>
      <c r="Q64" s="4" t="s">
        <v>31</v>
      </c>
      <c r="R64" s="4" t="s">
        <v>35</v>
      </c>
      <c r="S64" s="9" t="s">
        <v>32</v>
      </c>
    </row>
    <row r="65" spans="1:19" ht="20.100000000000001" customHeight="1" x14ac:dyDescent="0.25">
      <c r="A65" s="13">
        <v>32</v>
      </c>
      <c r="B65" s="11">
        <v>46112</v>
      </c>
      <c r="C65" s="14">
        <f>WEEKNUM(Tabla132[[#This Row],[FECHA DE EMBARQUE]])</f>
        <v>14</v>
      </c>
      <c r="D65" s="12" t="s">
        <v>20</v>
      </c>
      <c r="E65" s="12" t="s">
        <v>21</v>
      </c>
      <c r="F65" s="12" t="s">
        <v>254</v>
      </c>
      <c r="G65" s="12" t="s">
        <v>255</v>
      </c>
      <c r="H65" s="4">
        <v>268810391</v>
      </c>
      <c r="I65" s="12" t="s">
        <v>94</v>
      </c>
      <c r="J65" s="12" t="s">
        <v>26</v>
      </c>
      <c r="K65" s="5">
        <v>6</v>
      </c>
      <c r="L65" s="12" t="s">
        <v>27</v>
      </c>
      <c r="M65" s="12" t="s">
        <v>256</v>
      </c>
      <c r="N65" s="12" t="s">
        <v>257</v>
      </c>
      <c r="O65" s="12">
        <v>2</v>
      </c>
      <c r="P65" s="12" t="s">
        <v>30</v>
      </c>
      <c r="Q65" s="4" t="s">
        <v>31</v>
      </c>
      <c r="R65" s="4" t="s">
        <v>35</v>
      </c>
      <c r="S65" s="9" t="s">
        <v>32</v>
      </c>
    </row>
    <row r="66" spans="1:19" ht="20.100000000000001" customHeight="1" x14ac:dyDescent="0.25">
      <c r="A66" s="13">
        <v>32</v>
      </c>
      <c r="B66" s="11">
        <v>46112</v>
      </c>
      <c r="C66" s="14">
        <f>WEEKNUM(Tabla132[[#This Row],[FECHA DE EMBARQUE]])</f>
        <v>14</v>
      </c>
      <c r="D66" s="12" t="s">
        <v>20</v>
      </c>
      <c r="E66" s="12" t="s">
        <v>21</v>
      </c>
      <c r="F66" s="12" t="s">
        <v>254</v>
      </c>
      <c r="G66" s="12" t="s">
        <v>255</v>
      </c>
      <c r="H66" s="4">
        <v>268810391</v>
      </c>
      <c r="I66" s="12" t="s">
        <v>94</v>
      </c>
      <c r="J66" s="12" t="s">
        <v>26</v>
      </c>
      <c r="K66" s="5">
        <v>6</v>
      </c>
      <c r="L66" s="12" t="s">
        <v>27</v>
      </c>
      <c r="M66" s="12" t="s">
        <v>259</v>
      </c>
      <c r="N66" s="12" t="s">
        <v>258</v>
      </c>
      <c r="O66" s="12">
        <v>17</v>
      </c>
      <c r="P66" s="12" t="s">
        <v>30</v>
      </c>
      <c r="Q66" s="4" t="s">
        <v>31</v>
      </c>
      <c r="R66" s="4" t="s">
        <v>35</v>
      </c>
      <c r="S66" s="9" t="s">
        <v>32</v>
      </c>
    </row>
    <row r="67" spans="1:19" ht="20.100000000000001" customHeight="1" x14ac:dyDescent="0.25">
      <c r="A67" s="13">
        <v>33</v>
      </c>
      <c r="B67" s="11">
        <v>46112</v>
      </c>
      <c r="C67" s="14">
        <f>WEEKNUM(Tabla132[[#This Row],[FECHA DE EMBARQUE]])</f>
        <v>14</v>
      </c>
      <c r="D67" s="12" t="s">
        <v>20</v>
      </c>
      <c r="E67" s="12" t="s">
        <v>21</v>
      </c>
      <c r="F67" s="12" t="s">
        <v>260</v>
      </c>
      <c r="G67" s="12" t="s">
        <v>261</v>
      </c>
      <c r="H67" s="4">
        <v>268810340</v>
      </c>
      <c r="I67" s="12" t="s">
        <v>39</v>
      </c>
      <c r="J67" s="12" t="s">
        <v>26</v>
      </c>
      <c r="K67" s="5">
        <v>6</v>
      </c>
      <c r="L67" s="12" t="s">
        <v>27</v>
      </c>
      <c r="M67" s="12" t="s">
        <v>262</v>
      </c>
      <c r="N67" s="12" t="s">
        <v>263</v>
      </c>
      <c r="O67" s="12">
        <v>2</v>
      </c>
      <c r="P67" s="12" t="s">
        <v>30</v>
      </c>
      <c r="Q67" s="4" t="s">
        <v>31</v>
      </c>
      <c r="R67" s="4" t="s">
        <v>35</v>
      </c>
      <c r="S67" s="9" t="s">
        <v>32</v>
      </c>
    </row>
    <row r="68" spans="1:19" ht="20.100000000000001" customHeight="1" x14ac:dyDescent="0.25">
      <c r="A68" s="13">
        <v>33</v>
      </c>
      <c r="B68" s="11">
        <v>46112</v>
      </c>
      <c r="C68" s="14">
        <f>WEEKNUM(Tabla132[[#This Row],[FECHA DE EMBARQUE]])</f>
        <v>14</v>
      </c>
      <c r="D68" s="12" t="s">
        <v>20</v>
      </c>
      <c r="E68" s="12" t="s">
        <v>21</v>
      </c>
      <c r="F68" s="12" t="s">
        <v>260</v>
      </c>
      <c r="G68" s="12" t="s">
        <v>261</v>
      </c>
      <c r="H68" s="4">
        <v>268810340</v>
      </c>
      <c r="I68" s="12" t="s">
        <v>39</v>
      </c>
      <c r="J68" s="12" t="s">
        <v>26</v>
      </c>
      <c r="K68" s="5">
        <v>6</v>
      </c>
      <c r="L68" s="12" t="s">
        <v>27</v>
      </c>
      <c r="M68" s="12" t="s">
        <v>265</v>
      </c>
      <c r="N68" s="12" t="s">
        <v>264</v>
      </c>
      <c r="O68" s="12">
        <v>17</v>
      </c>
      <c r="P68" s="12" t="s">
        <v>30</v>
      </c>
      <c r="Q68" s="4" t="s">
        <v>31</v>
      </c>
      <c r="R68" s="4" t="s">
        <v>35</v>
      </c>
      <c r="S68" s="9" t="s">
        <v>32</v>
      </c>
    </row>
    <row r="69" spans="1:19" ht="20.100000000000001" customHeight="1" x14ac:dyDescent="0.25">
      <c r="A69" s="13">
        <v>34</v>
      </c>
      <c r="B69" s="11">
        <v>46112</v>
      </c>
      <c r="C69" s="14">
        <f>WEEKNUM(Tabla132[[#This Row],[FECHA DE EMBARQUE]])</f>
        <v>14</v>
      </c>
      <c r="D69" s="12" t="s">
        <v>20</v>
      </c>
      <c r="E69" s="12" t="s">
        <v>21</v>
      </c>
      <c r="F69" s="12" t="s">
        <v>266</v>
      </c>
      <c r="G69" s="12" t="s">
        <v>267</v>
      </c>
      <c r="H69" s="4">
        <v>268810559</v>
      </c>
      <c r="I69" s="12" t="s">
        <v>94</v>
      </c>
      <c r="J69" s="12" t="s">
        <v>26</v>
      </c>
      <c r="K69" s="5">
        <v>6</v>
      </c>
      <c r="L69" s="12" t="s">
        <v>27</v>
      </c>
      <c r="M69" s="12" t="s">
        <v>268</v>
      </c>
      <c r="N69" s="12" t="s">
        <v>269</v>
      </c>
      <c r="O69" s="12">
        <v>2</v>
      </c>
      <c r="P69" s="12" t="s">
        <v>30</v>
      </c>
      <c r="Q69" s="4" t="s">
        <v>270</v>
      </c>
      <c r="R69" s="4" t="s">
        <v>35</v>
      </c>
      <c r="S69" s="9" t="s">
        <v>32</v>
      </c>
    </row>
    <row r="70" spans="1:19" ht="20.100000000000001" customHeight="1" x14ac:dyDescent="0.25">
      <c r="A70" s="13">
        <v>34</v>
      </c>
      <c r="B70" s="11">
        <v>46112</v>
      </c>
      <c r="C70" s="14">
        <f>WEEKNUM(Tabla132[[#This Row],[FECHA DE EMBARQUE]])</f>
        <v>14</v>
      </c>
      <c r="D70" s="12" t="s">
        <v>20</v>
      </c>
      <c r="E70" s="12" t="s">
        <v>21</v>
      </c>
      <c r="F70" s="12" t="s">
        <v>266</v>
      </c>
      <c r="G70" s="12" t="s">
        <v>267</v>
      </c>
      <c r="H70" s="4">
        <v>268810559</v>
      </c>
      <c r="I70" s="12" t="s">
        <v>94</v>
      </c>
      <c r="J70" s="12" t="s">
        <v>26</v>
      </c>
      <c r="K70" s="5">
        <v>6</v>
      </c>
      <c r="L70" s="12" t="s">
        <v>27</v>
      </c>
      <c r="M70" s="12" t="s">
        <v>271</v>
      </c>
      <c r="N70" s="12" t="s">
        <v>272</v>
      </c>
      <c r="O70" s="12">
        <v>19</v>
      </c>
      <c r="P70" s="12" t="s">
        <v>30</v>
      </c>
      <c r="Q70" s="4" t="s">
        <v>270</v>
      </c>
      <c r="R70" s="4" t="s">
        <v>35</v>
      </c>
      <c r="S70" s="9" t="s">
        <v>32</v>
      </c>
    </row>
    <row r="71" spans="1:19" ht="20.100000000000001" customHeight="1" x14ac:dyDescent="0.25">
      <c r="A71" s="13">
        <v>35</v>
      </c>
      <c r="B71" s="11">
        <v>46112</v>
      </c>
      <c r="C71" s="14">
        <f>WEEKNUM(Tabla132[[#This Row],[FECHA DE EMBARQUE]])</f>
        <v>14</v>
      </c>
      <c r="D71" s="12" t="s">
        <v>20</v>
      </c>
      <c r="E71" s="12" t="s">
        <v>21</v>
      </c>
      <c r="F71" s="12" t="s">
        <v>273</v>
      </c>
      <c r="G71" s="12" t="s">
        <v>274</v>
      </c>
      <c r="H71" s="4">
        <v>268609036</v>
      </c>
      <c r="I71" s="12" t="s">
        <v>25</v>
      </c>
      <c r="J71" s="12" t="s">
        <v>26</v>
      </c>
      <c r="K71" s="5">
        <v>6</v>
      </c>
      <c r="L71" s="12" t="s">
        <v>27</v>
      </c>
      <c r="M71" s="12" t="s">
        <v>275</v>
      </c>
      <c r="N71" s="12" t="s">
        <v>276</v>
      </c>
      <c r="O71" s="12">
        <v>2</v>
      </c>
      <c r="P71" s="12" t="s">
        <v>30</v>
      </c>
      <c r="Q71" s="4" t="s">
        <v>223</v>
      </c>
      <c r="R71" s="4" t="s">
        <v>35</v>
      </c>
      <c r="S71" s="9" t="s">
        <v>32</v>
      </c>
    </row>
    <row r="72" spans="1:19" ht="20.100000000000001" customHeight="1" x14ac:dyDescent="0.25">
      <c r="A72" s="13">
        <v>35</v>
      </c>
      <c r="B72" s="11">
        <v>46112</v>
      </c>
      <c r="C72" s="14">
        <f>WEEKNUM(Tabla132[[#This Row],[FECHA DE EMBARQUE]])</f>
        <v>14</v>
      </c>
      <c r="D72" s="12" t="s">
        <v>20</v>
      </c>
      <c r="E72" s="12" t="s">
        <v>21</v>
      </c>
      <c r="F72" s="12" t="s">
        <v>273</v>
      </c>
      <c r="G72" s="12" t="s">
        <v>274</v>
      </c>
      <c r="H72" s="4">
        <v>268609036</v>
      </c>
      <c r="I72" s="12" t="s">
        <v>25</v>
      </c>
      <c r="J72" s="12" t="s">
        <v>26</v>
      </c>
      <c r="K72" s="5">
        <v>6</v>
      </c>
      <c r="L72" s="12" t="s">
        <v>27</v>
      </c>
      <c r="M72" s="12" t="s">
        <v>277</v>
      </c>
      <c r="N72" s="12" t="s">
        <v>278</v>
      </c>
      <c r="O72" s="12">
        <v>19</v>
      </c>
      <c r="P72" s="12" t="s">
        <v>30</v>
      </c>
      <c r="Q72" s="4" t="s">
        <v>223</v>
      </c>
      <c r="R72" s="4" t="s">
        <v>35</v>
      </c>
      <c r="S72" s="9" t="s">
        <v>32</v>
      </c>
    </row>
    <row r="73" spans="1:19" ht="20.100000000000001" customHeight="1" x14ac:dyDescent="0.25">
      <c r="A73" s="13">
        <v>36</v>
      </c>
      <c r="B73" s="11">
        <v>46112</v>
      </c>
      <c r="C73" s="14">
        <f>WEEKNUM(Tabla132[[#This Row],[FECHA DE EMBARQUE]])</f>
        <v>14</v>
      </c>
      <c r="D73" s="12" t="s">
        <v>20</v>
      </c>
      <c r="E73" s="12" t="s">
        <v>21</v>
      </c>
      <c r="F73" s="12" t="s">
        <v>279</v>
      </c>
      <c r="G73" s="12" t="s">
        <v>280</v>
      </c>
      <c r="H73" s="4">
        <v>268551235</v>
      </c>
      <c r="I73" s="12" t="s">
        <v>25</v>
      </c>
      <c r="J73" s="12" t="s">
        <v>26</v>
      </c>
      <c r="K73" s="5">
        <v>6</v>
      </c>
      <c r="L73" s="12" t="s">
        <v>27</v>
      </c>
      <c r="M73" s="12" t="s">
        <v>281</v>
      </c>
      <c r="N73" s="12" t="s">
        <v>283</v>
      </c>
      <c r="O73" s="12">
        <v>2</v>
      </c>
      <c r="P73" s="12" t="s">
        <v>30</v>
      </c>
      <c r="Q73" s="4" t="s">
        <v>31</v>
      </c>
      <c r="R73" s="4" t="s">
        <v>35</v>
      </c>
      <c r="S73" s="15" t="s">
        <v>41</v>
      </c>
    </row>
    <row r="74" spans="1:19" ht="20.100000000000001" customHeight="1" x14ac:dyDescent="0.25">
      <c r="A74" s="13">
        <v>36</v>
      </c>
      <c r="B74" s="11">
        <v>46112</v>
      </c>
      <c r="C74" s="14">
        <f>WEEKNUM(Tabla132[[#This Row],[FECHA DE EMBARQUE]])</f>
        <v>14</v>
      </c>
      <c r="D74" s="12" t="s">
        <v>20</v>
      </c>
      <c r="E74" s="12" t="s">
        <v>21</v>
      </c>
      <c r="F74" s="12" t="s">
        <v>279</v>
      </c>
      <c r="G74" s="12" t="s">
        <v>280</v>
      </c>
      <c r="H74" s="4">
        <v>268551235</v>
      </c>
      <c r="I74" s="12" t="s">
        <v>25</v>
      </c>
      <c r="J74" s="12" t="s">
        <v>26</v>
      </c>
      <c r="K74" s="5">
        <v>6</v>
      </c>
      <c r="L74" s="12" t="s">
        <v>27</v>
      </c>
      <c r="M74" s="12" t="s">
        <v>282</v>
      </c>
      <c r="N74" s="12" t="s">
        <v>284</v>
      </c>
      <c r="O74" s="12">
        <v>19</v>
      </c>
      <c r="P74" s="12" t="s">
        <v>30</v>
      </c>
      <c r="Q74" s="4" t="s">
        <v>31</v>
      </c>
      <c r="R74" s="4" t="s">
        <v>35</v>
      </c>
      <c r="S74" s="15" t="s">
        <v>41</v>
      </c>
    </row>
    <row r="75" spans="1:19" ht="20.100000000000001" customHeight="1" x14ac:dyDescent="0.25">
      <c r="A75" s="13">
        <v>37</v>
      </c>
      <c r="B75" s="11">
        <v>46112</v>
      </c>
      <c r="C75" s="14">
        <f>WEEKNUM(Tabla132[[#This Row],[FECHA DE EMBARQUE]])</f>
        <v>14</v>
      </c>
      <c r="D75" s="12" t="s">
        <v>20</v>
      </c>
      <c r="E75" s="12" t="s">
        <v>21</v>
      </c>
      <c r="F75" s="12" t="s">
        <v>285</v>
      </c>
      <c r="G75" s="12" t="s">
        <v>286</v>
      </c>
      <c r="H75" s="4">
        <v>268810605</v>
      </c>
      <c r="I75" s="12" t="s">
        <v>87</v>
      </c>
      <c r="J75" s="12" t="s">
        <v>26</v>
      </c>
      <c r="K75" s="5">
        <v>6</v>
      </c>
      <c r="L75" s="12" t="s">
        <v>27</v>
      </c>
      <c r="M75" s="12" t="s">
        <v>287</v>
      </c>
      <c r="N75" s="12" t="s">
        <v>288</v>
      </c>
      <c r="O75" s="12">
        <v>2</v>
      </c>
      <c r="P75" s="12" t="s">
        <v>30</v>
      </c>
      <c r="Q75" s="4" t="s">
        <v>31</v>
      </c>
      <c r="R75" s="4" t="s">
        <v>35</v>
      </c>
      <c r="S75" s="9" t="s">
        <v>32</v>
      </c>
    </row>
    <row r="76" spans="1:19" ht="20.100000000000001" customHeight="1" x14ac:dyDescent="0.25">
      <c r="A76" s="13">
        <v>37</v>
      </c>
      <c r="B76" s="11">
        <v>46112</v>
      </c>
      <c r="C76" s="14">
        <f>WEEKNUM(Tabla132[[#This Row],[FECHA DE EMBARQUE]])</f>
        <v>14</v>
      </c>
      <c r="D76" s="12" t="s">
        <v>20</v>
      </c>
      <c r="E76" s="12" t="s">
        <v>21</v>
      </c>
      <c r="F76" s="12" t="s">
        <v>285</v>
      </c>
      <c r="G76" s="12" t="s">
        <v>286</v>
      </c>
      <c r="H76" s="4">
        <v>268810605</v>
      </c>
      <c r="I76" s="12" t="s">
        <v>87</v>
      </c>
      <c r="J76" s="12" t="s">
        <v>26</v>
      </c>
      <c r="K76" s="5">
        <v>6</v>
      </c>
      <c r="L76" s="12" t="s">
        <v>27</v>
      </c>
      <c r="M76" s="12" t="s">
        <v>290</v>
      </c>
      <c r="N76" s="12" t="s">
        <v>289</v>
      </c>
      <c r="O76" s="12">
        <v>19</v>
      </c>
      <c r="P76" s="12" t="s">
        <v>30</v>
      </c>
      <c r="Q76" s="4" t="s">
        <v>31</v>
      </c>
      <c r="R76" s="4" t="s">
        <v>35</v>
      </c>
      <c r="S76" s="9" t="s">
        <v>32</v>
      </c>
    </row>
    <row r="77" spans="1:19" ht="20.100000000000001" customHeight="1" x14ac:dyDescent="0.25">
      <c r="A77" s="13">
        <v>38</v>
      </c>
      <c r="B77" s="11">
        <v>46112</v>
      </c>
      <c r="C77" s="14">
        <f>WEEKNUM(Tabla132[[#This Row],[FECHA DE EMBARQUE]])</f>
        <v>14</v>
      </c>
      <c r="D77" s="12" t="s">
        <v>20</v>
      </c>
      <c r="E77" s="12" t="s">
        <v>21</v>
      </c>
      <c r="F77" s="12" t="s">
        <v>291</v>
      </c>
      <c r="G77" s="12" t="s">
        <v>292</v>
      </c>
      <c r="H77" s="4">
        <v>268552168</v>
      </c>
      <c r="I77" s="12" t="s">
        <v>101</v>
      </c>
      <c r="J77" s="12" t="s">
        <v>100</v>
      </c>
      <c r="K77" s="5">
        <v>6</v>
      </c>
      <c r="L77" s="12" t="s">
        <v>27</v>
      </c>
      <c r="M77" s="12" t="s">
        <v>293</v>
      </c>
      <c r="N77" s="12" t="s">
        <v>294</v>
      </c>
      <c r="O77" s="12">
        <v>2</v>
      </c>
      <c r="P77" s="12" t="s">
        <v>30</v>
      </c>
      <c r="Q77" s="4" t="s">
        <v>31</v>
      </c>
      <c r="R77" s="4" t="s">
        <v>35</v>
      </c>
      <c r="S77" s="9" t="s">
        <v>32</v>
      </c>
    </row>
    <row r="78" spans="1:19" ht="20.100000000000001" customHeight="1" x14ac:dyDescent="0.25">
      <c r="A78" s="13">
        <v>38</v>
      </c>
      <c r="B78" s="11">
        <v>46112</v>
      </c>
      <c r="C78" s="14">
        <f>WEEKNUM(Tabla132[[#This Row],[FECHA DE EMBARQUE]])</f>
        <v>14</v>
      </c>
      <c r="D78" s="12" t="s">
        <v>20</v>
      </c>
      <c r="E78" s="12" t="s">
        <v>21</v>
      </c>
      <c r="F78" s="12" t="s">
        <v>291</v>
      </c>
      <c r="G78" s="12" t="s">
        <v>292</v>
      </c>
      <c r="H78" s="4">
        <v>268552168</v>
      </c>
      <c r="I78" s="12" t="s">
        <v>101</v>
      </c>
      <c r="J78" s="12" t="s">
        <v>100</v>
      </c>
      <c r="K78" s="5">
        <v>6</v>
      </c>
      <c r="L78" s="12" t="s">
        <v>27</v>
      </c>
      <c r="M78" s="12" t="s">
        <v>295</v>
      </c>
      <c r="N78" s="12" t="s">
        <v>296</v>
      </c>
      <c r="O78" s="12">
        <v>17</v>
      </c>
      <c r="P78" s="12" t="s">
        <v>30</v>
      </c>
      <c r="Q78" s="4" t="s">
        <v>31</v>
      </c>
      <c r="R78" s="4" t="s">
        <v>35</v>
      </c>
      <c r="S78" s="9" t="s">
        <v>32</v>
      </c>
    </row>
    <row r="79" spans="1:19" ht="20.100000000000001" customHeight="1" x14ac:dyDescent="0.25">
      <c r="A79" s="13">
        <v>39</v>
      </c>
      <c r="B79" s="11">
        <v>46112</v>
      </c>
      <c r="C79" s="14">
        <f>WEEKNUM(Tabla132[[#This Row],[FECHA DE EMBARQUE]])</f>
        <v>14</v>
      </c>
      <c r="D79" s="12" t="s">
        <v>20</v>
      </c>
      <c r="E79" s="12" t="s">
        <v>21</v>
      </c>
      <c r="F79" s="12" t="s">
        <v>297</v>
      </c>
      <c r="G79" s="12" t="s">
        <v>298</v>
      </c>
      <c r="H79" s="4">
        <v>268552114</v>
      </c>
      <c r="I79" s="12" t="s">
        <v>94</v>
      </c>
      <c r="J79" s="12" t="s">
        <v>26</v>
      </c>
      <c r="K79" s="5">
        <v>6</v>
      </c>
      <c r="L79" s="12" t="s">
        <v>27</v>
      </c>
      <c r="M79" s="12" t="s">
        <v>299</v>
      </c>
      <c r="N79" s="12" t="s">
        <v>300</v>
      </c>
      <c r="O79" s="12">
        <v>2</v>
      </c>
      <c r="P79" s="12" t="s">
        <v>30</v>
      </c>
      <c r="Q79" s="4" t="s">
        <v>223</v>
      </c>
      <c r="R79" s="12" t="s">
        <v>301</v>
      </c>
      <c r="S79" s="9" t="s">
        <v>32</v>
      </c>
    </row>
    <row r="80" spans="1:19" ht="20.100000000000001" customHeight="1" x14ac:dyDescent="0.25">
      <c r="A80" s="13">
        <v>39</v>
      </c>
      <c r="B80" s="11">
        <v>46112</v>
      </c>
      <c r="C80" s="14">
        <f>WEEKNUM(Tabla132[[#This Row],[FECHA DE EMBARQUE]])</f>
        <v>14</v>
      </c>
      <c r="D80" s="12" t="s">
        <v>20</v>
      </c>
      <c r="E80" s="12" t="s">
        <v>21</v>
      </c>
      <c r="F80" s="12" t="s">
        <v>297</v>
      </c>
      <c r="G80" s="12" t="s">
        <v>298</v>
      </c>
      <c r="H80" s="4">
        <v>268552114</v>
      </c>
      <c r="I80" s="12" t="s">
        <v>94</v>
      </c>
      <c r="J80" s="12" t="s">
        <v>26</v>
      </c>
      <c r="K80" s="5">
        <v>6</v>
      </c>
      <c r="L80" s="12" t="s">
        <v>27</v>
      </c>
      <c r="M80" s="12" t="s">
        <v>302</v>
      </c>
      <c r="N80" s="12" t="s">
        <v>303</v>
      </c>
      <c r="O80" s="12">
        <v>19</v>
      </c>
      <c r="P80" s="12" t="s">
        <v>30</v>
      </c>
      <c r="Q80" s="4" t="s">
        <v>223</v>
      </c>
      <c r="R80" s="12" t="s">
        <v>301</v>
      </c>
      <c r="S80" s="9" t="s">
        <v>32</v>
      </c>
    </row>
    <row r="81" spans="1:19" ht="20.100000000000001" customHeight="1" x14ac:dyDescent="0.25">
      <c r="A81" s="13">
        <v>40</v>
      </c>
      <c r="B81" s="11">
        <v>46112</v>
      </c>
      <c r="C81" s="14">
        <f>WEEKNUM(Tabla132[[#This Row],[FECHA DE EMBARQUE]])</f>
        <v>14</v>
      </c>
      <c r="D81" s="12" t="s">
        <v>20</v>
      </c>
      <c r="E81" s="12" t="s">
        <v>21</v>
      </c>
      <c r="F81" s="12" t="s">
        <v>304</v>
      </c>
      <c r="G81" s="12" t="s">
        <v>305</v>
      </c>
      <c r="H81" s="4">
        <v>268810671</v>
      </c>
      <c r="I81" s="12" t="s">
        <v>87</v>
      </c>
      <c r="J81" s="12" t="s">
        <v>26</v>
      </c>
      <c r="K81" s="5">
        <v>6</v>
      </c>
      <c r="L81" s="12" t="s">
        <v>27</v>
      </c>
      <c r="M81" s="12" t="s">
        <v>306</v>
      </c>
      <c r="N81" s="12" t="s">
        <v>307</v>
      </c>
      <c r="O81" s="12">
        <v>2</v>
      </c>
      <c r="P81" s="12" t="s">
        <v>30</v>
      </c>
      <c r="Q81" s="4" t="s">
        <v>31</v>
      </c>
      <c r="R81" s="4" t="s">
        <v>35</v>
      </c>
      <c r="S81" s="9" t="s">
        <v>32</v>
      </c>
    </row>
    <row r="82" spans="1:19" ht="20.100000000000001" customHeight="1" x14ac:dyDescent="0.25">
      <c r="A82" s="13">
        <v>40</v>
      </c>
      <c r="B82" s="11">
        <v>46112</v>
      </c>
      <c r="C82" s="14">
        <f>WEEKNUM(Tabla132[[#This Row],[FECHA DE EMBARQUE]])</f>
        <v>14</v>
      </c>
      <c r="D82" s="12" t="s">
        <v>20</v>
      </c>
      <c r="E82" s="12" t="s">
        <v>21</v>
      </c>
      <c r="F82" s="12" t="s">
        <v>304</v>
      </c>
      <c r="G82" s="12" t="s">
        <v>305</v>
      </c>
      <c r="H82" s="4">
        <v>268810671</v>
      </c>
      <c r="I82" s="12" t="s">
        <v>87</v>
      </c>
      <c r="J82" s="12" t="s">
        <v>26</v>
      </c>
      <c r="K82" s="5">
        <v>6</v>
      </c>
      <c r="L82" s="12" t="s">
        <v>27</v>
      </c>
      <c r="M82" s="12" t="s">
        <v>308</v>
      </c>
      <c r="N82" s="12" t="s">
        <v>309</v>
      </c>
      <c r="O82" s="12">
        <v>19</v>
      </c>
      <c r="P82" s="12" t="s">
        <v>30</v>
      </c>
      <c r="Q82" s="4" t="s">
        <v>31</v>
      </c>
      <c r="R82" s="4" t="s">
        <v>35</v>
      </c>
      <c r="S82" s="9" t="s">
        <v>32</v>
      </c>
    </row>
    <row r="83" spans="1:19" ht="20.100000000000001" customHeight="1" x14ac:dyDescent="0.25">
      <c r="A83" s="13">
        <v>41</v>
      </c>
      <c r="B83" s="11">
        <v>46112</v>
      </c>
      <c r="C83" s="14">
        <f>WEEKNUM(Tabla132[[#This Row],[FECHA DE EMBARQUE]])</f>
        <v>14</v>
      </c>
      <c r="D83" s="12" t="s">
        <v>20</v>
      </c>
      <c r="E83" s="12" t="s">
        <v>21</v>
      </c>
      <c r="F83" s="12" t="s">
        <v>310</v>
      </c>
      <c r="G83" s="12" t="s">
        <v>311</v>
      </c>
      <c r="H83" s="4">
        <v>268551122</v>
      </c>
      <c r="I83" s="12" t="s">
        <v>25</v>
      </c>
      <c r="J83" s="12" t="s">
        <v>26</v>
      </c>
      <c r="K83" s="5">
        <v>6</v>
      </c>
      <c r="L83" s="12" t="s">
        <v>27</v>
      </c>
      <c r="M83" s="12" t="s">
        <v>312</v>
      </c>
      <c r="N83" s="12" t="s">
        <v>313</v>
      </c>
      <c r="O83" s="12">
        <v>2</v>
      </c>
      <c r="P83" s="12" t="s">
        <v>30</v>
      </c>
      <c r="Q83" s="4" t="s">
        <v>31</v>
      </c>
      <c r="R83" s="4" t="s">
        <v>35</v>
      </c>
      <c r="S83" s="15" t="s">
        <v>41</v>
      </c>
    </row>
    <row r="84" spans="1:19" ht="20.100000000000001" customHeight="1" x14ac:dyDescent="0.25">
      <c r="A84" s="13">
        <v>41</v>
      </c>
      <c r="B84" s="11">
        <v>46112</v>
      </c>
      <c r="C84" s="14">
        <f>WEEKNUM(Tabla132[[#This Row],[FECHA DE EMBARQUE]])</f>
        <v>14</v>
      </c>
      <c r="D84" s="12" t="s">
        <v>20</v>
      </c>
      <c r="E84" s="12" t="s">
        <v>21</v>
      </c>
      <c r="F84" s="12" t="s">
        <v>310</v>
      </c>
      <c r="G84" s="12" t="s">
        <v>311</v>
      </c>
      <c r="H84" s="4">
        <v>268551122</v>
      </c>
      <c r="I84" s="12" t="s">
        <v>25</v>
      </c>
      <c r="J84" s="12" t="s">
        <v>26</v>
      </c>
      <c r="K84" s="5">
        <v>6</v>
      </c>
      <c r="L84" s="12" t="s">
        <v>27</v>
      </c>
      <c r="M84" s="12" t="s">
        <v>314</v>
      </c>
      <c r="N84" s="12" t="s">
        <v>315</v>
      </c>
      <c r="O84" s="12">
        <v>19</v>
      </c>
      <c r="P84" s="12" t="s">
        <v>30</v>
      </c>
      <c r="Q84" s="4" t="s">
        <v>31</v>
      </c>
      <c r="R84" s="4" t="s">
        <v>35</v>
      </c>
      <c r="S84" s="15" t="s">
        <v>41</v>
      </c>
    </row>
    <row r="85" spans="1:19" ht="20.100000000000001" customHeight="1" x14ac:dyDescent="0.25">
      <c r="A85" s="13">
        <v>42</v>
      </c>
      <c r="B85" s="11">
        <v>46113</v>
      </c>
      <c r="C85" s="14">
        <f>WEEKNUM(Tabla132[[#This Row],[FECHA DE EMBARQUE]])</f>
        <v>14</v>
      </c>
      <c r="D85" s="12" t="s">
        <v>20</v>
      </c>
      <c r="E85" s="12" t="s">
        <v>21</v>
      </c>
      <c r="F85" s="12" t="s">
        <v>316</v>
      </c>
      <c r="G85" s="12" t="s">
        <v>317</v>
      </c>
      <c r="H85" s="4" t="s">
        <v>318</v>
      </c>
      <c r="I85" s="12" t="s">
        <v>94</v>
      </c>
      <c r="J85" s="12" t="s">
        <v>26</v>
      </c>
      <c r="K85" s="5">
        <v>6</v>
      </c>
      <c r="L85" s="12" t="s">
        <v>27</v>
      </c>
      <c r="M85" s="12" t="s">
        <v>319</v>
      </c>
      <c r="N85" s="12" t="s">
        <v>320</v>
      </c>
      <c r="O85" s="12">
        <v>2</v>
      </c>
      <c r="P85" s="12" t="s">
        <v>30</v>
      </c>
      <c r="Q85" s="4" t="s">
        <v>31</v>
      </c>
      <c r="R85" s="4" t="s">
        <v>35</v>
      </c>
      <c r="S85" s="15" t="s">
        <v>32</v>
      </c>
    </row>
    <row r="86" spans="1:19" ht="20.100000000000001" customHeight="1" x14ac:dyDescent="0.25">
      <c r="A86" s="13">
        <v>42</v>
      </c>
      <c r="B86" s="11">
        <v>46113</v>
      </c>
      <c r="C86" s="14">
        <f>WEEKNUM(Tabla132[[#This Row],[FECHA DE EMBARQUE]])</f>
        <v>14</v>
      </c>
      <c r="D86" s="12" t="s">
        <v>20</v>
      </c>
      <c r="E86" s="12" t="s">
        <v>21</v>
      </c>
      <c r="F86" s="12" t="s">
        <v>316</v>
      </c>
      <c r="G86" s="12" t="s">
        <v>317</v>
      </c>
      <c r="H86" s="4" t="s">
        <v>318</v>
      </c>
      <c r="I86" s="12" t="s">
        <v>94</v>
      </c>
      <c r="J86" s="12" t="s">
        <v>26</v>
      </c>
      <c r="K86" s="5">
        <v>6</v>
      </c>
      <c r="L86" s="12" t="s">
        <v>27</v>
      </c>
      <c r="M86" s="12" t="s">
        <v>322</v>
      </c>
      <c r="N86" s="12" t="s">
        <v>321</v>
      </c>
      <c r="O86" s="12">
        <v>17</v>
      </c>
      <c r="P86" s="12" t="s">
        <v>30</v>
      </c>
      <c r="Q86" s="4" t="s">
        <v>31</v>
      </c>
      <c r="R86" s="4" t="s">
        <v>35</v>
      </c>
      <c r="S86" s="15" t="s">
        <v>32</v>
      </c>
    </row>
    <row r="87" spans="1:19" ht="20.100000000000001" customHeight="1" x14ac:dyDescent="0.25">
      <c r="A87" s="13">
        <v>43</v>
      </c>
      <c r="B87" s="11">
        <v>46113</v>
      </c>
      <c r="C87" s="14">
        <f>WEEKNUM(Tabla132[[#This Row],[FECHA DE EMBARQUE]])</f>
        <v>14</v>
      </c>
      <c r="D87" s="12" t="s">
        <v>20</v>
      </c>
      <c r="E87" s="12" t="s">
        <v>21</v>
      </c>
      <c r="F87" s="12" t="s">
        <v>323</v>
      </c>
      <c r="G87" s="12" t="s">
        <v>324</v>
      </c>
      <c r="H87" s="4">
        <v>268810778</v>
      </c>
      <c r="I87" s="12" t="s">
        <v>87</v>
      </c>
      <c r="J87" s="12" t="s">
        <v>26</v>
      </c>
      <c r="K87" s="5">
        <v>6</v>
      </c>
      <c r="L87" s="12" t="s">
        <v>27</v>
      </c>
      <c r="M87" s="12" t="s">
        <v>325</v>
      </c>
      <c r="N87" s="12" t="s">
        <v>326</v>
      </c>
      <c r="O87" s="12">
        <v>2</v>
      </c>
      <c r="P87" s="12" t="s">
        <v>30</v>
      </c>
      <c r="Q87" s="4" t="s">
        <v>31</v>
      </c>
      <c r="R87" s="4" t="s">
        <v>35</v>
      </c>
      <c r="S87" s="15" t="s">
        <v>32</v>
      </c>
    </row>
    <row r="88" spans="1:19" ht="20.100000000000001" customHeight="1" x14ac:dyDescent="0.25">
      <c r="A88" s="13">
        <v>43</v>
      </c>
      <c r="B88" s="11">
        <v>46113</v>
      </c>
      <c r="C88" s="14">
        <f>WEEKNUM(Tabla132[[#This Row],[FECHA DE EMBARQUE]])</f>
        <v>14</v>
      </c>
      <c r="D88" s="12" t="s">
        <v>20</v>
      </c>
      <c r="E88" s="12" t="s">
        <v>21</v>
      </c>
      <c r="F88" s="12" t="s">
        <v>323</v>
      </c>
      <c r="G88" s="12" t="s">
        <v>324</v>
      </c>
      <c r="H88" s="4">
        <v>268810778</v>
      </c>
      <c r="I88" s="12" t="s">
        <v>87</v>
      </c>
      <c r="J88" s="12" t="s">
        <v>26</v>
      </c>
      <c r="K88" s="5">
        <v>6</v>
      </c>
      <c r="L88" s="12" t="s">
        <v>27</v>
      </c>
      <c r="M88" s="12" t="s">
        <v>327</v>
      </c>
      <c r="N88" s="12" t="s">
        <v>328</v>
      </c>
      <c r="O88" s="12">
        <v>19</v>
      </c>
      <c r="P88" s="12" t="s">
        <v>30</v>
      </c>
      <c r="Q88" s="4" t="s">
        <v>31</v>
      </c>
      <c r="R88" s="4" t="s">
        <v>35</v>
      </c>
      <c r="S88" s="15" t="s">
        <v>32</v>
      </c>
    </row>
    <row r="89" spans="1:19" ht="20.100000000000001" customHeight="1" x14ac:dyDescent="0.25">
      <c r="A89" s="13">
        <v>44</v>
      </c>
      <c r="B89" s="11">
        <v>46113</v>
      </c>
      <c r="C89" s="14">
        <f>WEEKNUM(Tabla132[[#This Row],[FECHA DE EMBARQUE]])</f>
        <v>14</v>
      </c>
      <c r="D89" s="12" t="s">
        <v>20</v>
      </c>
      <c r="E89" s="12" t="s">
        <v>21</v>
      </c>
      <c r="F89" s="12" t="s">
        <v>329</v>
      </c>
      <c r="G89" s="12" t="s">
        <v>330</v>
      </c>
      <c r="H89" s="4" t="s">
        <v>331</v>
      </c>
      <c r="I89" s="12" t="s">
        <v>39</v>
      </c>
      <c r="J89" s="12" t="s">
        <v>26</v>
      </c>
      <c r="K89" s="5">
        <v>6</v>
      </c>
      <c r="L89" s="12" t="s">
        <v>27</v>
      </c>
      <c r="M89" s="12" t="s">
        <v>332</v>
      </c>
      <c r="N89" s="12" t="s">
        <v>333</v>
      </c>
      <c r="O89" s="12">
        <v>2</v>
      </c>
      <c r="P89" s="12" t="s">
        <v>30</v>
      </c>
      <c r="Q89" s="4" t="s">
        <v>31</v>
      </c>
      <c r="R89" s="4" t="s">
        <v>35</v>
      </c>
      <c r="S89" s="15" t="s">
        <v>32</v>
      </c>
    </row>
    <row r="90" spans="1:19" ht="20.100000000000001" customHeight="1" x14ac:dyDescent="0.25">
      <c r="A90" s="13">
        <v>44</v>
      </c>
      <c r="B90" s="11">
        <v>46113</v>
      </c>
      <c r="C90" s="14">
        <f>WEEKNUM(Tabla132[[#This Row],[FECHA DE EMBARQUE]])</f>
        <v>14</v>
      </c>
      <c r="D90" s="12" t="s">
        <v>20</v>
      </c>
      <c r="E90" s="12" t="s">
        <v>21</v>
      </c>
      <c r="F90" s="12" t="s">
        <v>329</v>
      </c>
      <c r="G90" s="12" t="s">
        <v>330</v>
      </c>
      <c r="H90" s="4" t="s">
        <v>331</v>
      </c>
      <c r="I90" s="12" t="s">
        <v>39</v>
      </c>
      <c r="J90" s="12" t="s">
        <v>26</v>
      </c>
      <c r="K90" s="5">
        <v>6</v>
      </c>
      <c r="L90" s="12" t="s">
        <v>27</v>
      </c>
      <c r="M90" s="12" t="s">
        <v>335</v>
      </c>
      <c r="N90" s="12" t="s">
        <v>334</v>
      </c>
      <c r="O90" s="12">
        <v>17</v>
      </c>
      <c r="P90" s="12" t="s">
        <v>30</v>
      </c>
      <c r="Q90" s="4" t="s">
        <v>31</v>
      </c>
      <c r="R90" s="4" t="s">
        <v>35</v>
      </c>
      <c r="S90" s="15" t="s">
        <v>32</v>
      </c>
    </row>
    <row r="91" spans="1:19" ht="20.100000000000001" customHeight="1" x14ac:dyDescent="0.25">
      <c r="A91" s="13">
        <v>45</v>
      </c>
      <c r="B91" s="11">
        <v>46113</v>
      </c>
      <c r="C91" s="14">
        <f>WEEKNUM(Tabla132[[#This Row],[FECHA DE EMBARQUE]])</f>
        <v>14</v>
      </c>
      <c r="D91" s="12" t="s">
        <v>20</v>
      </c>
      <c r="E91" s="12" t="s">
        <v>21</v>
      </c>
      <c r="F91" s="12" t="s">
        <v>336</v>
      </c>
      <c r="G91" s="12" t="s">
        <v>337</v>
      </c>
      <c r="H91" s="4" t="s">
        <v>338</v>
      </c>
      <c r="I91" s="12" t="s">
        <v>94</v>
      </c>
      <c r="J91" s="12" t="s">
        <v>26</v>
      </c>
      <c r="K91" s="5">
        <v>6</v>
      </c>
      <c r="L91" s="12" t="s">
        <v>27</v>
      </c>
      <c r="M91" s="12" t="s">
        <v>339</v>
      </c>
      <c r="N91" s="12" t="s">
        <v>340</v>
      </c>
      <c r="O91" s="12">
        <v>2</v>
      </c>
      <c r="P91" s="12" t="s">
        <v>30</v>
      </c>
      <c r="Q91" s="4" t="s">
        <v>31</v>
      </c>
      <c r="R91" s="4" t="s">
        <v>35</v>
      </c>
      <c r="S91" s="15" t="s">
        <v>32</v>
      </c>
    </row>
    <row r="92" spans="1:19" ht="20.100000000000001" customHeight="1" x14ac:dyDescent="0.25">
      <c r="A92" s="13">
        <v>45</v>
      </c>
      <c r="B92" s="11">
        <v>46113</v>
      </c>
      <c r="C92" s="14">
        <f>WEEKNUM(Tabla132[[#This Row],[FECHA DE EMBARQUE]])</f>
        <v>14</v>
      </c>
      <c r="D92" s="12" t="s">
        <v>20</v>
      </c>
      <c r="E92" s="12" t="s">
        <v>21</v>
      </c>
      <c r="F92" s="12" t="s">
        <v>336</v>
      </c>
      <c r="G92" s="12" t="s">
        <v>337</v>
      </c>
      <c r="H92" s="4" t="s">
        <v>338</v>
      </c>
      <c r="I92" s="12" t="s">
        <v>94</v>
      </c>
      <c r="J92" s="12" t="s">
        <v>26</v>
      </c>
      <c r="K92" s="5">
        <v>6</v>
      </c>
      <c r="L92" s="12" t="s">
        <v>27</v>
      </c>
      <c r="M92" s="12" t="s">
        <v>342</v>
      </c>
      <c r="N92" s="12" t="s">
        <v>341</v>
      </c>
      <c r="O92" s="12">
        <v>17</v>
      </c>
      <c r="P92" s="12" t="s">
        <v>30</v>
      </c>
      <c r="Q92" s="4" t="s">
        <v>31</v>
      </c>
      <c r="R92" s="4" t="s">
        <v>35</v>
      </c>
      <c r="S92" s="15" t="s">
        <v>32</v>
      </c>
    </row>
    <row r="93" spans="1:19" ht="20.100000000000001" customHeight="1" x14ac:dyDescent="0.25">
      <c r="A93" s="13">
        <v>46</v>
      </c>
      <c r="B93" s="11">
        <v>46114</v>
      </c>
      <c r="C93" s="14">
        <f>WEEKNUM(Tabla132[[#This Row],[FECHA DE EMBARQUE]])</f>
        <v>14</v>
      </c>
      <c r="D93" s="12" t="s">
        <v>20</v>
      </c>
      <c r="E93" s="12" t="s">
        <v>21</v>
      </c>
      <c r="F93" s="12" t="s">
        <v>343</v>
      </c>
      <c r="G93" s="12" t="s">
        <v>344</v>
      </c>
      <c r="H93" s="4" t="s">
        <v>352</v>
      </c>
      <c r="I93" s="12" t="s">
        <v>94</v>
      </c>
      <c r="J93" s="12" t="s">
        <v>26</v>
      </c>
      <c r="K93" s="5">
        <v>6</v>
      </c>
      <c r="L93" s="12" t="s">
        <v>27</v>
      </c>
      <c r="M93" s="12" t="s">
        <v>345</v>
      </c>
      <c r="N93" s="12" t="s">
        <v>346</v>
      </c>
      <c r="O93" s="12">
        <v>2</v>
      </c>
      <c r="P93" s="12" t="s">
        <v>30</v>
      </c>
      <c r="Q93" s="4" t="s">
        <v>31</v>
      </c>
      <c r="R93" s="4" t="s">
        <v>35</v>
      </c>
      <c r="S93" s="15" t="s">
        <v>32</v>
      </c>
    </row>
    <row r="94" spans="1:19" ht="20.100000000000001" customHeight="1" x14ac:dyDescent="0.25">
      <c r="A94" s="13">
        <v>46</v>
      </c>
      <c r="B94" s="11">
        <v>46114</v>
      </c>
      <c r="C94" s="14">
        <f>WEEKNUM(Tabla132[[#This Row],[FECHA DE EMBARQUE]])</f>
        <v>14</v>
      </c>
      <c r="D94" s="12" t="s">
        <v>20</v>
      </c>
      <c r="E94" s="12" t="s">
        <v>21</v>
      </c>
      <c r="F94" s="12" t="s">
        <v>343</v>
      </c>
      <c r="G94" s="12" t="s">
        <v>344</v>
      </c>
      <c r="H94" s="4" t="s">
        <v>352</v>
      </c>
      <c r="I94" s="12" t="s">
        <v>94</v>
      </c>
      <c r="J94" s="12" t="s">
        <v>26</v>
      </c>
      <c r="K94" s="5">
        <v>6</v>
      </c>
      <c r="L94" s="12" t="s">
        <v>27</v>
      </c>
      <c r="M94" s="12" t="s">
        <v>347</v>
      </c>
      <c r="N94" s="12" t="s">
        <v>348</v>
      </c>
      <c r="O94" s="12">
        <v>17</v>
      </c>
      <c r="P94" s="12" t="s">
        <v>30</v>
      </c>
      <c r="Q94" s="4" t="s">
        <v>31</v>
      </c>
      <c r="R94" s="4" t="s">
        <v>35</v>
      </c>
      <c r="S94" s="15" t="s">
        <v>32</v>
      </c>
    </row>
    <row r="95" spans="1:19" ht="20.100000000000001" customHeight="1" x14ac:dyDescent="0.25">
      <c r="A95" s="13">
        <v>47</v>
      </c>
      <c r="B95" s="11">
        <v>46114</v>
      </c>
      <c r="C95" s="14">
        <f>WEEKNUM(Tabla132[[#This Row],[FECHA DE EMBARQUE]])</f>
        <v>14</v>
      </c>
      <c r="D95" s="12" t="s">
        <v>20</v>
      </c>
      <c r="E95" s="12" t="s">
        <v>21</v>
      </c>
      <c r="F95" s="12" t="s">
        <v>349</v>
      </c>
      <c r="G95" s="12" t="s">
        <v>350</v>
      </c>
      <c r="H95" s="4" t="s">
        <v>351</v>
      </c>
      <c r="I95" s="12" t="s">
        <v>94</v>
      </c>
      <c r="J95" s="12" t="s">
        <v>49</v>
      </c>
      <c r="K95" s="5">
        <v>6</v>
      </c>
      <c r="L95" s="12" t="s">
        <v>27</v>
      </c>
      <c r="M95" s="12" t="s">
        <v>353</v>
      </c>
      <c r="N95" s="12" t="s">
        <v>354</v>
      </c>
      <c r="O95" s="12">
        <v>2</v>
      </c>
      <c r="P95" s="12" t="s">
        <v>30</v>
      </c>
      <c r="Q95" s="4" t="s">
        <v>357</v>
      </c>
      <c r="R95" s="4" t="s">
        <v>35</v>
      </c>
      <c r="S95" s="15" t="s">
        <v>32</v>
      </c>
    </row>
    <row r="96" spans="1:19" ht="20.100000000000001" customHeight="1" x14ac:dyDescent="0.25">
      <c r="A96" s="13">
        <v>47</v>
      </c>
      <c r="B96" s="11">
        <v>46114</v>
      </c>
      <c r="C96" s="14">
        <f>WEEKNUM(Tabla132[[#This Row],[FECHA DE EMBARQUE]])</f>
        <v>14</v>
      </c>
      <c r="D96" s="12" t="s">
        <v>20</v>
      </c>
      <c r="E96" s="12" t="s">
        <v>21</v>
      </c>
      <c r="F96" s="12" t="s">
        <v>349</v>
      </c>
      <c r="G96" s="12" t="s">
        <v>350</v>
      </c>
      <c r="H96" s="4" t="s">
        <v>351</v>
      </c>
      <c r="I96" s="12" t="s">
        <v>94</v>
      </c>
      <c r="J96" s="12" t="s">
        <v>49</v>
      </c>
      <c r="K96" s="5">
        <v>6</v>
      </c>
      <c r="L96" s="12" t="s">
        <v>27</v>
      </c>
      <c r="M96" s="12" t="s">
        <v>355</v>
      </c>
      <c r="N96" s="12" t="s">
        <v>356</v>
      </c>
      <c r="O96" s="12">
        <v>19</v>
      </c>
      <c r="P96" s="12" t="s">
        <v>30</v>
      </c>
      <c r="Q96" s="4" t="s">
        <v>357</v>
      </c>
      <c r="R96" s="4" t="s">
        <v>35</v>
      </c>
      <c r="S96" s="15" t="s">
        <v>32</v>
      </c>
    </row>
    <row r="97" spans="1:19" ht="20.100000000000001" customHeight="1" x14ac:dyDescent="0.25">
      <c r="A97" s="13">
        <v>48</v>
      </c>
      <c r="B97" s="11">
        <v>46114</v>
      </c>
      <c r="C97" s="14">
        <f>WEEKNUM(Tabla132[[#This Row],[FECHA DE EMBARQUE]])</f>
        <v>14</v>
      </c>
      <c r="D97" s="12" t="s">
        <v>20</v>
      </c>
      <c r="E97" s="12" t="s">
        <v>21</v>
      </c>
      <c r="F97" s="12" t="s">
        <v>358</v>
      </c>
      <c r="G97" s="12" t="s">
        <v>359</v>
      </c>
      <c r="H97" s="4">
        <v>90595702</v>
      </c>
      <c r="I97" s="12" t="s">
        <v>174</v>
      </c>
      <c r="J97" s="12" t="s">
        <v>26</v>
      </c>
      <c r="K97" s="5">
        <v>6</v>
      </c>
      <c r="L97" s="12" t="s">
        <v>27</v>
      </c>
      <c r="M97" s="12" t="s">
        <v>360</v>
      </c>
      <c r="N97" s="12" t="s">
        <v>361</v>
      </c>
      <c r="O97" s="12">
        <v>2</v>
      </c>
      <c r="P97" s="12" t="s">
        <v>30</v>
      </c>
      <c r="Q97" s="4" t="s">
        <v>31</v>
      </c>
      <c r="R97" s="4" t="s">
        <v>35</v>
      </c>
      <c r="S97" s="15" t="s">
        <v>32</v>
      </c>
    </row>
    <row r="98" spans="1:19" ht="20.100000000000001" customHeight="1" x14ac:dyDescent="0.25">
      <c r="A98" s="13">
        <v>48</v>
      </c>
      <c r="B98" s="11">
        <v>46114</v>
      </c>
      <c r="C98" s="14">
        <f>WEEKNUM(Tabla132[[#This Row],[FECHA DE EMBARQUE]])</f>
        <v>14</v>
      </c>
      <c r="D98" s="12" t="s">
        <v>20</v>
      </c>
      <c r="E98" s="12" t="s">
        <v>21</v>
      </c>
      <c r="F98" s="12" t="s">
        <v>358</v>
      </c>
      <c r="G98" s="12" t="s">
        <v>359</v>
      </c>
      <c r="H98" s="4">
        <v>90595702</v>
      </c>
      <c r="I98" s="12" t="s">
        <v>174</v>
      </c>
      <c r="J98" s="12" t="s">
        <v>26</v>
      </c>
      <c r="K98" s="5">
        <v>6</v>
      </c>
      <c r="L98" s="12" t="s">
        <v>27</v>
      </c>
      <c r="M98" s="12" t="s">
        <v>363</v>
      </c>
      <c r="N98" s="12" t="s">
        <v>362</v>
      </c>
      <c r="O98" s="12">
        <v>19</v>
      </c>
      <c r="P98" s="12" t="s">
        <v>30</v>
      </c>
      <c r="Q98" s="4" t="s">
        <v>31</v>
      </c>
      <c r="R98" s="4" t="s">
        <v>35</v>
      </c>
      <c r="S98" s="15" t="s">
        <v>32</v>
      </c>
    </row>
    <row r="99" spans="1:19" ht="20.100000000000001" customHeight="1" x14ac:dyDescent="0.25">
      <c r="A99" s="13">
        <v>49</v>
      </c>
      <c r="B99" s="11">
        <v>46114</v>
      </c>
      <c r="C99" s="14">
        <f>WEEKNUM(Tabla132[[#This Row],[FECHA DE EMBARQUE]])</f>
        <v>14</v>
      </c>
      <c r="D99" s="12" t="s">
        <v>20</v>
      </c>
      <c r="E99" s="12" t="s">
        <v>21</v>
      </c>
      <c r="F99" s="12" t="s">
        <v>364</v>
      </c>
      <c r="G99" s="12" t="s">
        <v>365</v>
      </c>
      <c r="H99" s="4" t="s">
        <v>366</v>
      </c>
      <c r="I99" s="12" t="s">
        <v>39</v>
      </c>
      <c r="J99" s="12" t="s">
        <v>26</v>
      </c>
      <c r="K99" s="5">
        <v>6</v>
      </c>
      <c r="L99" s="12" t="s">
        <v>27</v>
      </c>
      <c r="M99" s="12" t="s">
        <v>367</v>
      </c>
      <c r="N99" s="12" t="s">
        <v>368</v>
      </c>
      <c r="O99" s="12">
        <v>2</v>
      </c>
      <c r="P99" s="12" t="s">
        <v>30</v>
      </c>
      <c r="Q99" s="4" t="s">
        <v>31</v>
      </c>
      <c r="R99" s="4" t="s">
        <v>35</v>
      </c>
      <c r="S99" s="15" t="s">
        <v>32</v>
      </c>
    </row>
    <row r="100" spans="1:19" ht="20.100000000000001" customHeight="1" x14ac:dyDescent="0.25">
      <c r="A100" s="13">
        <v>49</v>
      </c>
      <c r="B100" s="11">
        <v>46114</v>
      </c>
      <c r="C100" s="14">
        <f>WEEKNUM(Tabla132[[#This Row],[FECHA DE EMBARQUE]])</f>
        <v>14</v>
      </c>
      <c r="D100" s="12" t="s">
        <v>20</v>
      </c>
      <c r="E100" s="12" t="s">
        <v>21</v>
      </c>
      <c r="F100" s="12" t="s">
        <v>364</v>
      </c>
      <c r="G100" s="12" t="s">
        <v>365</v>
      </c>
      <c r="H100" s="4" t="s">
        <v>366</v>
      </c>
      <c r="I100" s="12" t="s">
        <v>39</v>
      </c>
      <c r="J100" s="12" t="s">
        <v>26</v>
      </c>
      <c r="K100" s="5">
        <v>6</v>
      </c>
      <c r="L100" s="12" t="s">
        <v>27</v>
      </c>
      <c r="M100" s="12" t="s">
        <v>369</v>
      </c>
      <c r="N100" s="12" t="s">
        <v>370</v>
      </c>
      <c r="O100" s="12">
        <v>17</v>
      </c>
      <c r="P100" s="12" t="s">
        <v>30</v>
      </c>
      <c r="Q100" s="4" t="s">
        <v>31</v>
      </c>
      <c r="R100" s="4" t="s">
        <v>35</v>
      </c>
      <c r="S100" s="15" t="s">
        <v>32</v>
      </c>
    </row>
  </sheetData>
  <mergeCells count="1">
    <mergeCell ref="A1:S1"/>
  </mergeCells>
  <phoneticPr fontId="3" type="noConversion"/>
  <conditionalFormatting sqref="F2">
    <cfRule type="duplicateValues" dxfId="5" priority="3"/>
  </conditionalFormatting>
  <conditionalFormatting sqref="G2:H2">
    <cfRule type="duplicateValues" dxfId="4" priority="2"/>
  </conditionalFormatting>
  <conditionalFormatting sqref="M2 O2">
    <cfRule type="duplicateValues" dxfId="3" priority="5"/>
    <cfRule type="duplicateValues" dxfId="2" priority="6"/>
  </conditionalFormatting>
  <conditionalFormatting sqref="M1:N1048576">
    <cfRule type="duplicateValues" dxfId="1" priority="1"/>
  </conditionalFormatting>
  <conditionalFormatting sqref="N2">
    <cfRule type="duplicateValues" dxfId="0" priority="4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MARITIMO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Chero</dc:creator>
  <cp:lastModifiedBy>Calidad</cp:lastModifiedBy>
  <dcterms:created xsi:type="dcterms:W3CDTF">2026-03-17T20:39:00Z</dcterms:created>
  <dcterms:modified xsi:type="dcterms:W3CDTF">2026-04-06T21:42:46Z</dcterms:modified>
</cp:coreProperties>
</file>