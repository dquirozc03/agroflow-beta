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betacompe-my.sharepoint.com/personal/dchero_beta_com_pe/Documents/ENTREGA FINAL FORMATOS TERMOS/MARITIMO/"/>
    </mc:Choice>
  </mc:AlternateContent>
  <xr:revisionPtr revIDLastSave="0" documentId="8_{E2F8446B-F862-4FA2-8873-5F7F3986512F}" xr6:coauthVersionLast="47" xr6:coauthVersionMax="47" xr10:uidLastSave="{00000000-0000-0000-0000-000000000000}"/>
  <bookViews>
    <workbookView minimized="1" xWindow="6600" yWindow="4500" windowWidth="15375" windowHeight="7785" xr2:uid="{FCC3F2AE-E752-4F72-8E95-0912F67A46CB}"/>
  </bookViews>
  <sheets>
    <sheet name="MARITIM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A4" i="1"/>
  <c r="A5" i="1" s="1"/>
  <c r="A6" i="1" s="1"/>
  <c r="A7" i="1" s="1"/>
  <c r="C3" i="1"/>
</calcChain>
</file>

<file path=xl/sharedStrings.xml><?xml version="1.0" encoding="utf-8"?>
<sst xmlns="http://schemas.openxmlformats.org/spreadsheetml/2006/main" count="55" uniqueCount="39">
  <si>
    <t>CUADRO DE TERMOGRAFOS - MARITIMO</t>
  </si>
  <si>
    <t>N°</t>
  </si>
  <si>
    <t>FECHA DE EMBARQUE</t>
  </si>
  <si>
    <t>SEMANA EMBARQUE</t>
  </si>
  <si>
    <t>MODALIDAD TRANSPORTE</t>
  </si>
  <si>
    <t>PLANTA</t>
  </si>
  <si>
    <t>ORDEN BETA</t>
  </si>
  <si>
    <t>N° CONTENEDOR</t>
  </si>
  <si>
    <t xml:space="preserve">BOOKING </t>
  </si>
  <si>
    <t>CLIENTE</t>
  </si>
  <si>
    <t>DESTINO</t>
  </si>
  <si>
    <t>SET POINT (T°)</t>
  </si>
  <si>
    <t>TIPO DE TERMOGRAFO</t>
  </si>
  <si>
    <t>CODIGO DE TERMOGRAFO</t>
  </si>
  <si>
    <t>PALLET</t>
  </si>
  <si>
    <t>POSICION DE PALLET</t>
  </si>
  <si>
    <t>VARIEDAD</t>
  </si>
  <si>
    <t>PRESENTACIONES POR PALLET</t>
  </si>
  <si>
    <t xml:space="preserve">TIPOS DE CAJA </t>
  </si>
  <si>
    <t>MARCA DE CAJA</t>
  </si>
  <si>
    <t>MARITIMO</t>
  </si>
  <si>
    <t>JAYANCA</t>
  </si>
  <si>
    <t>BAM-1888</t>
  </si>
  <si>
    <t>CAAU 416381-2</t>
  </si>
  <si>
    <t>EBKG192929</t>
  </si>
  <si>
    <t>ALPINE FRESH</t>
  </si>
  <si>
    <t>EE.UU</t>
  </si>
  <si>
    <t>Xsense</t>
  </si>
  <si>
    <t>AR-13538</t>
  </si>
  <si>
    <t>VENTURA</t>
  </si>
  <si>
    <t>9.8 Oz (3.34 Kg)</t>
  </si>
  <si>
    <t>CARTON</t>
  </si>
  <si>
    <t>AR-13539</t>
  </si>
  <si>
    <t>11 Oz (3.744 Kg)</t>
  </si>
  <si>
    <t>PLASTICA</t>
  </si>
  <si>
    <t>OLMOS</t>
  </si>
  <si>
    <t>BAM-1822</t>
  </si>
  <si>
    <t>RECRIA</t>
  </si>
  <si>
    <t>BAM-1830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</si>
</sst>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6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Protection="1">
      <protection locked="0"/>
    </xf>
    <xf numFmtId="0" fontId="1" fillId="3" borderId="0" xfId="0" applyFont="1" applyFill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Protection="1">
      <protection locked="0"/>
    </xf>
    <xf numFmtId="14" fontId="0" fillId="0" borderId="3" xfId="0" applyNumberFormat="1" applyBorder="1" applyProtection="1"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164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theme="6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indexed="64"/>
        </top>
        <bottom/>
        <vertical/>
        <horizontal/>
      </border>
      <protection locked="0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C00000"/>
      </font>
      <fill>
        <patternFill>
          <bgColor rgb="FFFFC7D8"/>
        </patternFill>
      </fill>
    </dxf>
    <dxf>
      <font>
        <color rgb="FFC00000"/>
      </font>
      <fill>
        <patternFill>
          <bgColor rgb="FFFFC7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7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800100</xdr:colOff>
      <xdr:row>0</xdr:row>
      <xdr:rowOff>561974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8176A0-19B9-489B-A0A0-1D1AF6692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95400" cy="5619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CB0C6-AEE7-4308-8ACC-0AFB5AC9C7CD}" name="Tabla132" displayName="Tabla132" ref="A2:S7" totalsRowShown="0" headerRowDxfId="21" dataDxfId="20" tableBorderDxfId="19">
  <autoFilter ref="A2:S7" xr:uid="{0C6CB0C6-AEE7-4308-8ACC-0AFB5AC9C7CD}"/>
  <tableColumns count="19">
    <tableColumn id="1" xr3:uid="{FAFCFCC0-2246-4143-813D-97700CDC968F}" name="N°" dataDxfId="18">
      <calculatedColumnFormula>IF(Tabla132[[#This Row],[FECHA DE EMBARQUE]]=OFFSET(Tabla132[[#This Row],[FECHA DE EMBARQUE]],-1,0),OFFSET(Tabla132[[#This Row],[N°]],-1,0),OFFSET(Tabla132[[#This Row],[N°]],-1,0)+1)</calculatedColumnFormula>
    </tableColumn>
    <tableColumn id="2" xr3:uid="{CF316002-E2BD-4A6B-A6C2-2730A22BACEC}" name="FECHA DE EMBARQUE" dataDxfId="17"/>
    <tableColumn id="3" xr3:uid="{AF6ECE07-F8C7-4392-9292-0FF45D358433}" name="SEMANA EMBARQUE" dataDxfId="16">
      <calculatedColumnFormula>WEEKNUM(Tabla132[[#This Row],[FECHA DE EMBARQUE]])</calculatedColumnFormula>
    </tableColumn>
    <tableColumn id="4" xr3:uid="{D7C67EFC-4603-4659-B3D1-59CC39401BDC}" name="MODALIDAD TRANSPORTE" dataDxfId="15"/>
    <tableColumn id="5" xr3:uid="{95680260-D8D3-4A3C-BA3C-44BF1CEFAFBD}" name="PLANTA" dataDxfId="14"/>
    <tableColumn id="6" xr3:uid="{6EB1B66A-6E5D-4C7A-880A-A986ACEC3C66}" name="ORDEN BETA" dataDxfId="13"/>
    <tableColumn id="20" xr3:uid="{3D78B041-8BD3-4529-AE3E-2062E326FD44}" name="N° CONTENEDOR" dataDxfId="12"/>
    <tableColumn id="33" xr3:uid="{4FB7E2C7-2398-4BBA-AFB2-BC7160C35786}" name="BOOKING " dataDxfId="11"/>
    <tableColumn id="7" xr3:uid="{A76AB894-7B9F-4C30-AE51-BF265FBC30C3}" name="CLIENTE" dataDxfId="10"/>
    <tableColumn id="25" xr3:uid="{911E3AA6-ED62-4551-AD4A-72161E8A4B94}" name="DESTINO" dataDxfId="9"/>
    <tableColumn id="23" xr3:uid="{578F4CEC-4312-4800-89AC-B7BD68F79776}" name="SET POINT (T°)" dataDxfId="8"/>
    <tableColumn id="10" xr3:uid="{AF6723C6-F697-42C9-90BC-BD4FE982F676}" name="TIPO DE TERMOGRAFO" dataDxfId="7"/>
    <tableColumn id="9" xr3:uid="{5DAA95F6-70F7-4939-9106-B91AE20A6613}" name="CODIGO DE TERMOGRAFO" dataDxfId="6"/>
    <tableColumn id="8" xr3:uid="{6DC4F62C-9E13-432E-B92A-A2502AF4C12F}" name="PALLET" dataDxfId="5"/>
    <tableColumn id="11" xr3:uid="{C40784E1-CEA0-4C2E-AFF8-4344575E4FC5}" name="POSICION DE PALLET" dataDxfId="4"/>
    <tableColumn id="26" xr3:uid="{69424431-0581-4643-A617-8F042403BA8D}" name="VARIEDAD" dataDxfId="3"/>
    <tableColumn id="27" xr3:uid="{5E505390-5297-4B38-9661-E2A696587E9E}" name="PRESENTACIONES POR PALLET" dataDxfId="2"/>
    <tableColumn id="28" xr3:uid="{0EE550ED-5E99-4132-80DD-2F2A1E09E5E7}" name="TIPOS DE CAJA " dataDxfId="1"/>
    <tableColumn id="29" xr3:uid="{9F4B7370-2A03-449C-94D4-1FC954FCED0C}" name="MARCA DE CAJA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8626-25E0-49A0-9DB7-781DE95B2E2A}">
  <dimension ref="A1:S7"/>
  <sheetViews>
    <sheetView tabSelected="1" zoomScaleNormal="100" workbookViewId="0">
      <selection activeCell="D10" sqref="D10"/>
    </sheetView>
  </sheetViews>
  <sheetFormatPr defaultColWidth="11.42578125" defaultRowHeight="20.100000000000001" customHeight="1"/>
  <cols>
    <col min="1" max="1" width="7.42578125" style="1" bestFit="1" customWidth="1"/>
    <col min="2" max="2" width="22.42578125" style="1" customWidth="1"/>
    <col min="3" max="3" width="21.42578125" style="1" bestFit="1" customWidth="1"/>
    <col min="4" max="4" width="25.85546875" style="1" bestFit="1" customWidth="1"/>
    <col min="5" max="5" width="11.42578125" style="1" bestFit="1" customWidth="1"/>
    <col min="6" max="6" width="15.28515625" style="1" bestFit="1" customWidth="1"/>
    <col min="7" max="7" width="18.7109375" style="1" bestFit="1" customWidth="1"/>
    <col min="8" max="8" width="13" style="1" bestFit="1" customWidth="1"/>
    <col min="9" max="9" width="13" style="10" bestFit="1" customWidth="1"/>
    <col min="10" max="10" width="12.5703125" style="10" bestFit="1" customWidth="1"/>
    <col min="11" max="11" width="16.5703125" style="10" bestFit="1" customWidth="1"/>
    <col min="12" max="12" width="23" style="10" bestFit="1" customWidth="1"/>
    <col min="13" max="13" width="26" style="10" bestFit="1" customWidth="1"/>
    <col min="14" max="14" width="11.140625" style="10" bestFit="1" customWidth="1"/>
    <col min="15" max="15" width="22" style="10" bestFit="1" customWidth="1"/>
    <col min="16" max="16" width="13.42578125" style="10" bestFit="1" customWidth="1"/>
    <col min="17" max="17" width="29.42578125" style="10" bestFit="1" customWidth="1"/>
    <col min="18" max="18" width="16.7109375" style="10" bestFit="1" customWidth="1"/>
    <col min="19" max="19" width="22.85546875" style="10" bestFit="1" customWidth="1"/>
    <col min="20" max="20" width="28.7109375" style="1" customWidth="1"/>
    <col min="21" max="16384" width="11.42578125" style="1"/>
  </cols>
  <sheetData>
    <row r="1" spans="1:19" ht="45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</row>
    <row r="2" spans="1:19" ht="30" customHeigh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</row>
    <row r="3" spans="1:19" ht="20.100000000000001" customHeight="1">
      <c r="A3" s="4">
        <v>1</v>
      </c>
      <c r="B3" s="5">
        <v>46053</v>
      </c>
      <c r="C3" s="6">
        <f>WEEKNUM(Tabla132[[#This Row],[FECHA DE EMBARQUE]])</f>
        <v>5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7" t="s">
        <v>25</v>
      </c>
      <c r="J3" s="7" t="s">
        <v>26</v>
      </c>
      <c r="K3" s="8">
        <v>-0.5</v>
      </c>
      <c r="L3" s="7" t="s">
        <v>27</v>
      </c>
      <c r="M3" s="6">
        <v>8024944</v>
      </c>
      <c r="N3" s="6" t="s">
        <v>28</v>
      </c>
      <c r="O3" s="6">
        <v>2</v>
      </c>
      <c r="P3" s="7" t="s">
        <v>29</v>
      </c>
      <c r="Q3" s="7" t="s">
        <v>30</v>
      </c>
      <c r="R3" s="7" t="s">
        <v>31</v>
      </c>
      <c r="S3" s="7" t="s">
        <v>25</v>
      </c>
    </row>
    <row r="4" spans="1:19" ht="20.100000000000001" customHeight="1">
      <c r="A4" s="4">
        <f ca="1">IF(Tabla132[[#This Row],[ORDEN BETA]]=OFFSET(Tabla132[[#This Row],[ORDEN BETA]],-1,0),OFFSET(Tabla132[[#This Row],[N°]],-1,0),OFFSET(Tabla132[[#This Row],[N°]],-1,0)+1)</f>
        <v>1</v>
      </c>
      <c r="B4" s="5">
        <v>46053</v>
      </c>
      <c r="C4" s="6">
        <f>WEEKNUM(Tabla132[[#This Row],[FECHA DE EMBARQUE]])</f>
        <v>5</v>
      </c>
      <c r="D4" s="7" t="s">
        <v>20</v>
      </c>
      <c r="E4" s="7" t="s">
        <v>21</v>
      </c>
      <c r="F4" s="7" t="s">
        <v>22</v>
      </c>
      <c r="G4" s="7" t="s">
        <v>23</v>
      </c>
      <c r="H4" s="7" t="s">
        <v>24</v>
      </c>
      <c r="I4" s="7" t="s">
        <v>25</v>
      </c>
      <c r="J4" s="7" t="s">
        <v>26</v>
      </c>
      <c r="K4" s="8">
        <v>-0.5</v>
      </c>
      <c r="L4" s="7" t="s">
        <v>27</v>
      </c>
      <c r="M4" s="6">
        <v>8027100</v>
      </c>
      <c r="N4" s="6" t="s">
        <v>32</v>
      </c>
      <c r="O4" s="6">
        <v>19</v>
      </c>
      <c r="P4" s="7" t="s">
        <v>29</v>
      </c>
      <c r="Q4" s="7" t="s">
        <v>33</v>
      </c>
      <c r="R4" s="7" t="s">
        <v>34</v>
      </c>
      <c r="S4" s="7" t="s">
        <v>25</v>
      </c>
    </row>
    <row r="5" spans="1:19" ht="20.100000000000001" customHeight="1">
      <c r="A5" s="4">
        <f ca="1">IF(Tabla132[[#This Row],[ORDEN BETA]]=OFFSET(Tabla132[[#This Row],[ORDEN BETA]],-1,0),OFFSET(Tabla132[[#This Row],[N°]],-1,0),OFFSET(Tabla132[[#This Row],[N°]],-1,0)+1)</f>
        <v>2</v>
      </c>
      <c r="B5" s="5">
        <v>46044</v>
      </c>
      <c r="C5" s="6">
        <f>WEEKNUM(Tabla132[[#This Row],[FECHA DE EMBARQUE]])</f>
        <v>4</v>
      </c>
      <c r="D5" s="7" t="s">
        <v>20</v>
      </c>
      <c r="E5" s="7" t="s">
        <v>35</v>
      </c>
      <c r="F5" s="7" t="s">
        <v>36</v>
      </c>
      <c r="G5" s="7"/>
      <c r="H5" s="7"/>
      <c r="I5" s="7"/>
      <c r="J5" s="7"/>
      <c r="K5" s="6"/>
      <c r="L5" s="7"/>
      <c r="M5" s="6"/>
      <c r="N5" s="6"/>
      <c r="O5" s="6"/>
      <c r="P5" s="7"/>
      <c r="Q5" s="7"/>
      <c r="R5" s="7"/>
      <c r="S5" s="7"/>
    </row>
    <row r="6" spans="1:19" ht="20.100000000000001" customHeight="1">
      <c r="A6" s="4">
        <f ca="1">IF(Tabla132[[#This Row],[ORDEN BETA]]=OFFSET(Tabla132[[#This Row],[ORDEN BETA]],-1,0),OFFSET(Tabla132[[#This Row],[N°]],-1,0),OFFSET(Tabla132[[#This Row],[N°]],-1,0)+1)</f>
        <v>2</v>
      </c>
      <c r="B6" s="5">
        <v>46044</v>
      </c>
      <c r="C6" s="6">
        <f>WEEKNUM(Tabla132[[#This Row],[FECHA DE EMBARQUE]])</f>
        <v>4</v>
      </c>
      <c r="D6" s="7" t="s">
        <v>20</v>
      </c>
      <c r="E6" s="7" t="s">
        <v>35</v>
      </c>
      <c r="F6" s="7" t="s">
        <v>36</v>
      </c>
      <c r="G6" s="7"/>
      <c r="H6" s="7"/>
      <c r="I6" s="7"/>
      <c r="J6" s="7"/>
      <c r="K6" s="6"/>
      <c r="L6" s="7"/>
      <c r="M6" s="6"/>
      <c r="N6" s="6"/>
      <c r="O6" s="6"/>
      <c r="P6" s="7"/>
      <c r="Q6" s="7"/>
      <c r="R6" s="7"/>
      <c r="S6" s="9"/>
    </row>
    <row r="7" spans="1:19" ht="20.100000000000001" customHeight="1">
      <c r="A7" s="4">
        <f ca="1">IF(Tabla132[[#This Row],[ORDEN BETA]]=OFFSET(Tabla132[[#This Row],[ORDEN BETA]],-1,0),OFFSET(Tabla132[[#This Row],[N°]],-1,0),OFFSET(Tabla132[[#This Row],[N°]],-1,0)+1)</f>
        <v>3</v>
      </c>
      <c r="B7" s="5">
        <v>46047</v>
      </c>
      <c r="C7" s="6">
        <f>WEEKNUM(Tabla132[[#This Row],[FECHA DE EMBARQUE]])</f>
        <v>5</v>
      </c>
      <c r="D7" s="7" t="s">
        <v>20</v>
      </c>
      <c r="E7" s="7" t="s">
        <v>37</v>
      </c>
      <c r="F7" s="7" t="s">
        <v>38</v>
      </c>
      <c r="G7" s="7"/>
      <c r="H7" s="7"/>
      <c r="I7" s="7"/>
      <c r="J7" s="7"/>
      <c r="K7" s="6"/>
      <c r="L7" s="7"/>
      <c r="M7" s="6"/>
      <c r="N7" s="6"/>
      <c r="O7" s="6"/>
      <c r="P7" s="7"/>
      <c r="Q7" s="7"/>
      <c r="R7" s="7"/>
      <c r="S7" s="9"/>
    </row>
  </sheetData>
  <mergeCells count="1">
    <mergeCell ref="A1:S1"/>
  </mergeCells>
  <conditionalFormatting sqref="F2">
    <cfRule type="duplicateValues" dxfId="26" priority="2"/>
  </conditionalFormatting>
  <conditionalFormatting sqref="G2:H2">
    <cfRule type="duplicateValues" dxfId="25" priority="1"/>
  </conditionalFormatting>
  <conditionalFormatting sqref="M2 O2">
    <cfRule type="duplicateValues" dxfId="24" priority="4"/>
    <cfRule type="duplicateValues" dxfId="23" priority="5"/>
  </conditionalFormatting>
  <conditionalFormatting sqref="N2">
    <cfRule type="duplicateValues" dxfId="22" priority="3"/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BE62D254472084E8C515AA24DE2C014" ma:contentTypeVersion="23" ma:contentTypeDescription="Crear nuevo documento." ma:contentTypeScope="" ma:versionID="e68b01bcc5b10f8c0ed84af4ec06cb8c">
  <xsd:schema xmlns:xsd="http://www.w3.org/2001/XMLSchema" xmlns:xs="http://www.w3.org/2001/XMLSchema" xmlns:p="http://schemas.microsoft.com/office/2006/metadata/properties" xmlns:ns2="4fb898bf-273d-4b5d-a937-829d5cd43fa6" xmlns:ns3="826d05e1-ecd4-44cd-9493-eb0d3c456bc8" targetNamespace="http://schemas.microsoft.com/office/2006/metadata/properties" ma:root="true" ma:fieldsID="06fe33c18d358083c173a41c181e3864" ns2:_="" ns3:_="">
    <xsd:import namespace="4fb898bf-273d-4b5d-a937-829d5cd43fa6"/>
    <xsd:import namespace="826d05e1-ecd4-44cd-9493-eb0d3c456bc8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b898bf-273d-4b5d-a937-829d5cd43fa6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1" nillable="true" ma:displayName="Estado de aprobación" ma:hidden="true" ma:internalName="Estado_x0020_de_x0020_aprobaci_x00f3_n" ma:readOnly="false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hidden="true" ma:internalName="MediaServiceKeyPoints" ma:readOnly="tru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4713ae5c-089c-468f-a309-c3bf859b5a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6d05e1-ecd4-44cd-9493-eb0d3c456bc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hidden="true" ma:internalName="SharedWithDetails" ma:readOnly="true">
      <xsd:simpleType>
        <xsd:restriction base="dms:Note"/>
      </xsd:simpleType>
    </xsd:element>
    <xsd:element name="TaxCatchAll" ma:index="23" nillable="true" ma:displayName="Taxonomy Catch All Column" ma:hidden="true" ma:list="{6d97af33-9103-4631-b4f5-b810b2765303}" ma:internalName="TaxCatchAll" ma:showField="CatchAllData" ma:web="826d05e1-ecd4-44cd-9493-eb0d3c456bc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Tipo de contenido"/>
        <xsd:element ref="dc:title" minOccurs="0" maxOccurs="1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4fb898bf-273d-4b5d-a937-829d5cd43fa6" xsi:nil="true"/>
    <TaxCatchAll xmlns="826d05e1-ecd4-44cd-9493-eb0d3c456bc8" xsi:nil="true"/>
    <lcf76f155ced4ddcb4097134ff3c332f xmlns="4fb898bf-273d-4b5d-a937-829d5cd43fa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20636D-0194-443D-8580-F0DDD5F5E37B}"/>
</file>

<file path=customXml/itemProps2.xml><?xml version="1.0" encoding="utf-8"?>
<ds:datastoreItem xmlns:ds="http://schemas.openxmlformats.org/officeDocument/2006/customXml" ds:itemID="{F11526FD-8FF5-4814-B4E3-B46120DC5E41}"/>
</file>

<file path=customXml/itemProps3.xml><?xml version="1.0" encoding="utf-8"?>
<ds:datastoreItem xmlns:ds="http://schemas.openxmlformats.org/officeDocument/2006/customXml" ds:itemID="{750CC1DD-9D7B-429A-8AFC-501D738CF7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Chero</dc:creator>
  <cp:keywords/>
  <dc:description/>
  <cp:lastModifiedBy/>
  <cp:revision/>
  <dcterms:created xsi:type="dcterms:W3CDTF">2026-03-17T20:39:00Z</dcterms:created>
  <dcterms:modified xsi:type="dcterms:W3CDTF">2026-03-22T18:21:27Z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0x0101006BE62D254472084E8C515AA24DE2C014</vt:lpwstr>
  </property>
</Properties>
</file>